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formance Summary" sheetId="1" r:id="rId4"/>
    <sheet state="visible" name="Segment_wise_Revenue" sheetId="2" r:id="rId5"/>
    <sheet state="visible" name="P&amp;L Detailed" sheetId="3" r:id="rId6"/>
    <sheet state="visible" name="Schedule_OPEX" sheetId="4" r:id="rId7"/>
    <sheet state="hidden" name="Cashflow Projection" sheetId="5" r:id="rId8"/>
    <sheet state="hidden" name="Revenue-Detailed" sheetId="6" r:id="rId9"/>
    <sheet state="hidden" name="Revenue Projection" sheetId="7" r:id="rId10"/>
    <sheet state="hidden" name="Sheet1" sheetId="8" r:id="rId11"/>
    <sheet state="visible" name="BalanceSheet Summary" sheetId="9" r:id="rId12"/>
    <sheet state="visible" name="Schedule_BS" sheetId="10" r:id="rId13"/>
    <sheet state="visible" name="Cashflow" sheetId="11" r:id="rId14"/>
    <sheet state="hidden" name="Fundflow_Post Investment" sheetId="12" r:id="rId15"/>
    <sheet state="visible" name="FC" sheetId="13" r:id="rId16"/>
  </sheets>
  <definedNames>
    <definedName hidden="1" localSheetId="5" name="_xlnm._FilterDatabase">'Revenue-Detailed'!$A$1:$N$644</definedName>
    <definedName hidden="1" localSheetId="6" name="_xlnm._FilterDatabase">'Revenue Projection'!$A$1:$AG$44</definedName>
  </definedNames>
  <calcPr/>
  <extLst>
    <ext uri="GoogleSheetsCustomDataVersion2">
      <go:sheetsCustomData xmlns:go="http://customooxmlschemas.google.com/" r:id="rId17" roundtripDataChecksum="ZMgm1GO/yAFne+6GXRiThldeuLRtwLLsfkLQVIMV8D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8">
      <text>
        <t xml:space="preserve">======
ID#AAABzAJqyDc
Thota Accounts    (2026-01-24 15:59:14)
Employer PT</t>
      </text>
    </comment>
  </commentList>
  <extLst>
    <ext uri="GoogleSheetsCustomDataVersion2">
      <go:sheetsCustomData xmlns:go="http://customooxmlschemas.google.com/" r:id="rId1" roundtripDataSignature="AMtx7mhZN4c2JKTWY3V3L5l5L0yKhIAlr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ID#AAAByM-UwjY
KasraS    (2026-01-01 09:43:44)
Instructions: Enter the dates or timeframe the company's prior period figures will cover. (e.g. "07/01/2014 to 09/30/2014")  Please note that for the best comparison to the Current Period, the prior period time frame should cover the same number of days as the Current Period.</t>
      </text>
    </comment>
    <comment authorId="0" ref="F4">
      <text>
        <t xml:space="preserve">======
ID#AAAByM-UwjU
KasraS    (2026-01-01 09:43:44)
Instructions: Enter the Prior Period amounts for each line item in this column's cells.</t>
      </text>
    </comment>
    <comment authorId="0" ref="B16">
      <text>
        <t xml:space="preserve">======
ID#AAAByM-UwjQ
tc={8D867869-9957-4182-BF24-A46AC09A382C}    (2026-01-01 09:43:44)
[Threaded comment]
Your version of Excel allows you to read this threaded comment; however, any edits to it will get removed if the file is opened in a newer version of Excel. Learn more: https://go.microsoft.com/fwlink/?linkid=870924
Comment:
    Check the Notes sheet for details</t>
      </text>
    </comment>
  </commentList>
  <extLst>
    <ext uri="GoogleSheetsCustomDataVersion2">
      <go:sheetsCustomData xmlns:go="http://customooxmlschemas.google.com/" r:id="rId1" roundtripDataSignature="AMtx7mjSrk6BCTkzrC5/aMfIbY/fqspbZQ=="/>
    </ext>
  </extLst>
</comments>
</file>

<file path=xl/sharedStrings.xml><?xml version="1.0" encoding="utf-8"?>
<sst xmlns="http://schemas.openxmlformats.org/spreadsheetml/2006/main" count="3974" uniqueCount="1327">
  <si>
    <t>THOTA HOSPITALITY LLP</t>
  </si>
  <si>
    <t xml:space="preserve">     Performance Summary</t>
  </si>
  <si>
    <t>P A R T I C U L A R S</t>
  </si>
  <si>
    <t>FY2025-26 (Actuals)</t>
  </si>
  <si>
    <t>FY2025-26 (Projection)</t>
  </si>
  <si>
    <t>Totals
(FY2025-26)</t>
  </si>
  <si>
    <t>QTR 1 - 25</t>
  </si>
  <si>
    <t>QTR 2 - 25</t>
  </si>
  <si>
    <t>QTR 3 - 25</t>
  </si>
  <si>
    <t>QTR 4 - 25</t>
  </si>
  <si>
    <t>Hospitality Services</t>
  </si>
  <si>
    <t>Studio Services</t>
  </si>
  <si>
    <t>Other Income</t>
  </si>
  <si>
    <t>Credit Note</t>
  </si>
  <si>
    <t>SALES</t>
  </si>
  <si>
    <t>Target</t>
  </si>
  <si>
    <t> </t>
  </si>
  <si>
    <t>COGS</t>
  </si>
  <si>
    <t>Direct Expenses</t>
  </si>
  <si>
    <t>Gross Profit</t>
  </si>
  <si>
    <t>Gross Profit %</t>
  </si>
  <si>
    <t>Indirect Income</t>
  </si>
  <si>
    <t>Indirect Expenses</t>
  </si>
  <si>
    <t>EBITDA</t>
  </si>
  <si>
    <t>EBITDA %</t>
  </si>
  <si>
    <t>Finance Cost</t>
  </si>
  <si>
    <t>Depreciation</t>
  </si>
  <si>
    <t>Income Tax</t>
  </si>
  <si>
    <t xml:space="preserve">                     -  </t>
  </si>
  <si>
    <t xml:space="preserve">                       -  </t>
  </si>
  <si>
    <t>PAT</t>
  </si>
  <si>
    <t>PAT %</t>
  </si>
  <si>
    <t>REVENUE / SALES</t>
  </si>
  <si>
    <t>Month</t>
  </si>
  <si>
    <t>Morning Glory</t>
  </si>
  <si>
    <t>Al Fresco</t>
  </si>
  <si>
    <t>Sunset Soiree</t>
  </si>
  <si>
    <t>Studio</t>
  </si>
  <si>
    <t>Total</t>
  </si>
  <si>
    <t>Percentage</t>
  </si>
  <si>
    <t>April</t>
  </si>
  <si>
    <t>May</t>
  </si>
  <si>
    <t>June</t>
  </si>
  <si>
    <t>July</t>
  </si>
  <si>
    <t>August</t>
  </si>
  <si>
    <t>September</t>
  </si>
  <si>
    <t>October</t>
  </si>
  <si>
    <t>November</t>
  </si>
  <si>
    <t>December</t>
  </si>
  <si>
    <t>January</t>
  </si>
  <si>
    <t>February</t>
  </si>
  <si>
    <t>March</t>
  </si>
  <si>
    <t>Totals</t>
  </si>
  <si>
    <t>Profit &amp; Loss A/c</t>
  </si>
  <si>
    <t>Particulars</t>
  </si>
  <si>
    <t>APR-25</t>
  </si>
  <si>
    <t>MAY-25</t>
  </si>
  <si>
    <t>JUN-25</t>
  </si>
  <si>
    <t>JUL-25</t>
  </si>
  <si>
    <t>AUG-25</t>
  </si>
  <si>
    <t>SEPT-25</t>
  </si>
  <si>
    <t>OCT-25</t>
  </si>
  <si>
    <t>NOV-25</t>
  </si>
  <si>
    <t>DEC-25</t>
  </si>
  <si>
    <t>JAN-26</t>
  </si>
  <si>
    <t>FEB-26 (Proj)</t>
  </si>
  <si>
    <t>MAR-26 (Proj)</t>
  </si>
  <si>
    <t>Revenue from operations</t>
  </si>
  <si>
    <t>Purchase Cost</t>
  </si>
  <si>
    <t>Thota Kitchen</t>
  </si>
  <si>
    <t>Thota Decor</t>
  </si>
  <si>
    <t>Studio Decor</t>
  </si>
  <si>
    <t/>
  </si>
  <si>
    <t>Fuel Expenses</t>
  </si>
  <si>
    <t>Transportation Expense</t>
  </si>
  <si>
    <t>COGS-Total</t>
  </si>
  <si>
    <t>Buyback</t>
  </si>
  <si>
    <t>Discount Recieved</t>
  </si>
  <si>
    <t>Interest Income</t>
  </si>
  <si>
    <t>Advertisement/Marketing</t>
  </si>
  <si>
    <t>Office &amp; Administrative Overheads</t>
  </si>
  <si>
    <t>Payroll Expenses</t>
  </si>
  <si>
    <t>Rates &amp; Taxes</t>
  </si>
  <si>
    <t>Travelling Expense</t>
  </si>
  <si>
    <t>Freight Outward</t>
  </si>
  <si>
    <t>Professional Service Charges</t>
  </si>
  <si>
    <t>Write Off / (-)Write Back</t>
  </si>
  <si>
    <t>PBT</t>
  </si>
  <si>
    <t>PBT %</t>
  </si>
  <si>
    <t>GST Revenue as per Tally</t>
  </si>
  <si>
    <t>Not considered for GST (Cash collected)</t>
  </si>
  <si>
    <t>Apr-Mar 25-26</t>
  </si>
  <si>
    <t>APR</t>
  </si>
  <si>
    <t>MAY</t>
  </si>
  <si>
    <t>JUN</t>
  </si>
  <si>
    <t>JUL</t>
  </si>
  <si>
    <t>AUG</t>
  </si>
  <si>
    <t>SEPT</t>
  </si>
  <si>
    <t>OCT</t>
  </si>
  <si>
    <t>NOV</t>
  </si>
  <si>
    <t>DEC</t>
  </si>
  <si>
    <t>JAN</t>
  </si>
  <si>
    <t>FEB</t>
  </si>
  <si>
    <t>MAR</t>
  </si>
  <si>
    <t>Local Conveyance</t>
  </si>
  <si>
    <t>Office Expenses</t>
  </si>
  <si>
    <t>Printing &amp; Stationery</t>
  </si>
  <si>
    <t>Registration &amp; Subscription</t>
  </si>
  <si>
    <t>Staff Welfare</t>
  </si>
  <si>
    <t>Telephone &amp; Internet Charges</t>
  </si>
  <si>
    <t>Bank Charges</t>
  </si>
  <si>
    <t>Interest on Bank loan</t>
  </si>
  <si>
    <t>HR Expenses</t>
  </si>
  <si>
    <t>Employee Salaries</t>
  </si>
  <si>
    <t>Incentives</t>
  </si>
  <si>
    <t>Partner Remuneration</t>
  </si>
  <si>
    <t>PF Admin Charges</t>
  </si>
  <si>
    <t>Stipend</t>
  </si>
  <si>
    <t>Marketing &amp; Ads</t>
  </si>
  <si>
    <t>Meta / Instagram</t>
  </si>
  <si>
    <t>Events / Exhibitions</t>
  </si>
  <si>
    <t>Repairs &amp; Maintenance</t>
  </si>
  <si>
    <t>Misc. Expenses</t>
  </si>
  <si>
    <t>Grand Total</t>
  </si>
  <si>
    <t>Projections F.Y. 2025-26</t>
  </si>
  <si>
    <t>Projection Statement of Cash Flow</t>
  </si>
  <si>
    <t>2025-26</t>
  </si>
  <si>
    <t>Advance received during the month against order</t>
  </si>
  <si>
    <t>Balance will be received 45 days from Invoice date</t>
  </si>
  <si>
    <t>Apr</t>
  </si>
  <si>
    <t xml:space="preserve">May </t>
  </si>
  <si>
    <t>Jun</t>
  </si>
  <si>
    <t>Jul</t>
  </si>
  <si>
    <t>Aug</t>
  </si>
  <si>
    <t>Sep</t>
  </si>
  <si>
    <t>Oct</t>
  </si>
  <si>
    <t>Nov</t>
  </si>
  <si>
    <t>Dec</t>
  </si>
  <si>
    <t>Jan</t>
  </si>
  <si>
    <t>Feb</t>
  </si>
  <si>
    <t>Mar</t>
  </si>
  <si>
    <t>Revenues &amp; Inflow</t>
  </si>
  <si>
    <t>Revenue from Sale of Goods</t>
  </si>
  <si>
    <t>Services &amp; Solutions</t>
  </si>
  <si>
    <t>Previous Year AR</t>
  </si>
  <si>
    <t>Fixed Deposits</t>
  </si>
  <si>
    <t>Secured/Unsecured Loan</t>
  </si>
  <si>
    <t>Other Cash Receipts / Refunds</t>
  </si>
  <si>
    <t>Total Inflow</t>
  </si>
  <si>
    <t xml:space="preserve">Payments </t>
  </si>
  <si>
    <t>Purchases (COGS)</t>
  </si>
  <si>
    <t>Previous Year AP</t>
  </si>
  <si>
    <t>Sub Total</t>
  </si>
  <si>
    <t>Indirect Costs</t>
  </si>
  <si>
    <t>R&amp;D</t>
  </si>
  <si>
    <t>Foreign Exchange Gain/Loss</t>
  </si>
  <si>
    <t>Bank Interest</t>
  </si>
  <si>
    <t>Capital Purchases (exl. GST)</t>
  </si>
  <si>
    <t>Rental Deposit / Other Advances</t>
  </si>
  <si>
    <t>Loan Repayment</t>
  </si>
  <si>
    <t>Partner's Loan</t>
  </si>
  <si>
    <t>Secured/Unsecured/Corporate Loans</t>
  </si>
  <si>
    <t>Statutory Payments</t>
  </si>
  <si>
    <t>Direct &amp; Indirect Taxes</t>
  </si>
  <si>
    <t>HR Compliances</t>
  </si>
  <si>
    <t>Secretarial Compliances</t>
  </si>
  <si>
    <t>Income Tax Payable</t>
  </si>
  <si>
    <t>Total Outflow</t>
  </si>
  <si>
    <t>Net Operations cash</t>
  </si>
  <si>
    <t>Opening Balance (incl. Bank OD)</t>
  </si>
  <si>
    <t>Closing Cash Balance (surplus/deficit)</t>
  </si>
  <si>
    <t>Actual Remaining Cash after clearing the Overdraft</t>
  </si>
  <si>
    <t>Important Notes:</t>
  </si>
  <si>
    <t xml:space="preserve">Existing inventory of 42 lakh as of 30th Sep will support production for Oct–Nov 2025. No additional raw material purchases planned during this period except some imports of MOQ components &amp; clearing last month AP. Fresh purchases resume from Dec-2025 based on sales demand. </t>
  </si>
  <si>
    <t>Considered all the indirect Expenses will be paid during the same month only.</t>
  </si>
  <si>
    <t>Considered 80% of the Cost towards Purchase of Goods (COGS) will be paid upfront &amp; remaining 20% will be paid after 30 Days.</t>
  </si>
  <si>
    <t>Considered Direct Expenses will be paid during the same month.</t>
  </si>
  <si>
    <t>Considered revenue is exclusive of GST &amp; not shown under the statutory payments since have to be collected &amp; paid by default.</t>
  </si>
  <si>
    <t>HR compliances are not considered separately as CTC of the employees have considered under HR Expenses.</t>
  </si>
  <si>
    <t>Date</t>
  </si>
  <si>
    <t>Party Name</t>
  </si>
  <si>
    <t>GSTIN</t>
  </si>
  <si>
    <t>Bill Date</t>
  </si>
  <si>
    <t>Number</t>
  </si>
  <si>
    <t>Revenue Centres</t>
  </si>
  <si>
    <t>Product</t>
  </si>
  <si>
    <t>HSN/SAC</t>
  </si>
  <si>
    <t>Quantity</t>
  </si>
  <si>
    <t>Unit</t>
  </si>
  <si>
    <t>Invoice lines/Unit Price</t>
  </si>
  <si>
    <t>Subtotal</t>
  </si>
  <si>
    <t>Continental Automotive Components (India) Private Limited</t>
  </si>
  <si>
    <t>INV/2526/FW18</t>
  </si>
  <si>
    <t>CONSUMABLES</t>
  </si>
  <si>
    <t>PLA+ Black 3D Printing Filament 1.75mm 1kg</t>
  </si>
  <si>
    <t>84431100</t>
  </si>
  <si>
    <t>Units</t>
  </si>
  <si>
    <t>AMC Sales (Spares and Service Visits)</t>
  </si>
  <si>
    <t>Shipping Charges</t>
  </si>
  <si>
    <t>9968</t>
  </si>
  <si>
    <t>3D Works Design Solutions</t>
  </si>
  <si>
    <t>03AANPU7335B1ZQ</t>
  </si>
  <si>
    <t>INV/2526/FW17</t>
  </si>
  <si>
    <t>PTFE Tube ID2 OD4</t>
  </si>
  <si>
    <t>8477</t>
  </si>
  <si>
    <t>m</t>
  </si>
  <si>
    <t>Thermistor 100k NTC</t>
  </si>
  <si>
    <t>24V 40W Heater Cartridge</t>
  </si>
  <si>
    <t>0.4mm Hardened Steel V6 Nozzle Tip</t>
  </si>
  <si>
    <t>Hotend Service Charges</t>
  </si>
  <si>
    <t>998719</t>
  </si>
  <si>
    <t>Indian Institute of Science- Dr Hardik J Pandya</t>
  </si>
  <si>
    <t>29AAATI1501J2ZV</t>
  </si>
  <si>
    <t>INV/2526/FW16</t>
  </si>
  <si>
    <t>3D printing Service</t>
  </si>
  <si>
    <t>3D Printing FDM Manufacturing Service</t>
  </si>
  <si>
    <t>3926</t>
  </si>
  <si>
    <t>Vigyan Ashram</t>
  </si>
  <si>
    <t>INV/2526/FW15</t>
  </si>
  <si>
    <t>V6 Lite Hotend 24V (Brass  0.4mm)</t>
  </si>
  <si>
    <t>Indian Institute of Technology Tirupati</t>
  </si>
  <si>
    <t>37AAAAI9917R3ZS</t>
  </si>
  <si>
    <t>INV/2526/FW14</t>
  </si>
  <si>
    <t>Carriage PCB Julia- SF</t>
  </si>
  <si>
    <t>30mm Fan 24V</t>
  </si>
  <si>
    <t>20 pin 50cm reverse FFC</t>
  </si>
  <si>
    <t>Carriage PCB Acrylic - Ext.</t>
  </si>
  <si>
    <t>Service Visit Charge</t>
  </si>
  <si>
    <t xml:space="preserve">4010 Blower Fan </t>
  </si>
  <si>
    <t>Spool Holder for Julia Pro</t>
  </si>
  <si>
    <t>cm</t>
  </si>
  <si>
    <t>Field Service</t>
  </si>
  <si>
    <t>Hours</t>
  </si>
  <si>
    <t>Amace Solutions Pvt. Ltd.</t>
  </si>
  <si>
    <t>29AARCA3445M1Z1</t>
  </si>
  <si>
    <t>INV/2526/FW13</t>
  </si>
  <si>
    <t>Continental Automotive Components (India) Pvt.Ltd - Technical Centre</t>
  </si>
  <si>
    <t>29AAKCS9578C1ZP</t>
  </si>
  <si>
    <t>INV/2526/FW12</t>
  </si>
  <si>
    <t>Guide3D Tech (OPC) Pvt Ltd</t>
  </si>
  <si>
    <t>24AAICG4958J1Z8</t>
  </si>
  <si>
    <t>INV/2526/FW11</t>
  </si>
  <si>
    <t>3D Printer Sales</t>
  </si>
  <si>
    <t>Twin Dragon 600</t>
  </si>
  <si>
    <t>84779000</t>
  </si>
  <si>
    <t>Auma India Pvt Ltd</t>
  </si>
  <si>
    <t>29AABCA1342F1Z4</t>
  </si>
  <si>
    <t>INV/2526/FW10</t>
  </si>
  <si>
    <t>PLA+ White 3D Printing Filament 1.75mm 1kg</t>
  </si>
  <si>
    <t>8443</t>
  </si>
  <si>
    <t>Technoventor Innovations Private Limited</t>
  </si>
  <si>
    <t>27AAFCT9460K1ZR</t>
  </si>
  <si>
    <t>INV/2526/FW9</t>
  </si>
  <si>
    <t>Pei powder coated 260</t>
  </si>
  <si>
    <t>M. SUDHA M Sudha Saravanan</t>
  </si>
  <si>
    <t>FOC/2025/00011</t>
  </si>
  <si>
    <t>SMPS 24V 240W</t>
  </si>
  <si>
    <t>L. DAVID WILLIAM RAJ (Faculty)</t>
  </si>
  <si>
    <t>FOC/2025/00010</t>
  </si>
  <si>
    <t>AMC</t>
  </si>
  <si>
    <t>GREAVES ELECTRIC MOBILITY PRIVATE LIMITED-BLR</t>
  </si>
  <si>
    <t>29AAHCA0665K1ZF</t>
  </si>
  <si>
    <t>INV/2526/FW8</t>
  </si>
  <si>
    <t>Sarga Additive Manufacturing</t>
  </si>
  <si>
    <t>08ABBCS0837Q1ZV</t>
  </si>
  <si>
    <t>INV/2526/FW7</t>
  </si>
  <si>
    <t>Snowflake V2</t>
  </si>
  <si>
    <t>Manohar</t>
  </si>
  <si>
    <t>INV/2526/FW6</t>
  </si>
  <si>
    <t>PET Sheet 210x250</t>
  </si>
  <si>
    <t>TOYODA GOSEI SOUTH INDIA PRIVATE LIMITED</t>
  </si>
  <si>
    <t>29AAACT7424Q1ZO</t>
  </si>
  <si>
    <t>INV/2526/FW5</t>
  </si>
  <si>
    <t>OTHER ENGG SERVICES</t>
  </si>
  <si>
    <t>Design Service</t>
  </si>
  <si>
    <t>998333</t>
  </si>
  <si>
    <t>KLE Society’s Institute of Dental Sciences</t>
  </si>
  <si>
    <t>29AAATK2644N7Z2</t>
  </si>
  <si>
    <t>INV/2526/FW4</t>
  </si>
  <si>
    <t>Manipal Academy of Higher Education</t>
  </si>
  <si>
    <t>29AAETM8695B1Z4</t>
  </si>
  <si>
    <t>INV/2526/FW3</t>
  </si>
  <si>
    <t>Julia 250i</t>
  </si>
  <si>
    <t>Training and Installation</t>
  </si>
  <si>
    <t>9987</t>
  </si>
  <si>
    <t>Aquagenics R&amp;D India Pvt Ltd</t>
  </si>
  <si>
    <t>29AAMCA7504L1Z8</t>
  </si>
  <si>
    <t>INV/2526/FW2</t>
  </si>
  <si>
    <t>Butterfly Gandhimathi Appliances Limited</t>
  </si>
  <si>
    <t>33AAACG2038F1Z7</t>
  </si>
  <si>
    <t>INV/2526/FW1</t>
  </si>
  <si>
    <t xml:space="preserve">Formlabs form3L Resin Tank </t>
  </si>
  <si>
    <t>CAMBRIAN BIOTECH PRIVATE LIMITED</t>
  </si>
  <si>
    <t>29AAKCC6988L1ZM</t>
  </si>
  <si>
    <t>INV/2526/FW38</t>
  </si>
  <si>
    <t>GT2 Antiskid Belt 6mm</t>
  </si>
  <si>
    <t>Fractory - 3D Printing</t>
  </si>
  <si>
    <t>FOC/2025/00018</t>
  </si>
  <si>
    <t>24 pin 60cm reverse FFC</t>
  </si>
  <si>
    <t>FOC/2025/00017</t>
  </si>
  <si>
    <t>Pi camera</t>
  </si>
  <si>
    <t>15 pin 150cm reverse FFC</t>
  </si>
  <si>
    <t>15 Pin 60cm Reverse FFC</t>
  </si>
  <si>
    <t>PRINTSTICK</t>
  </si>
  <si>
    <t>PrintStick</t>
  </si>
  <si>
    <t>3506</t>
  </si>
  <si>
    <t>Society for Innovation and Development</t>
  </si>
  <si>
    <t>29AAATS5333E1ZJ</t>
  </si>
  <si>
    <t>INV/2526/FW37</t>
  </si>
  <si>
    <t>OMO GLOBAL</t>
  </si>
  <si>
    <t>33ALSPK0534C1ZG</t>
  </si>
  <si>
    <t>FOC/2025/00016</t>
  </si>
  <si>
    <t>5V USB buck Converter</t>
  </si>
  <si>
    <t>SOEN ELECTRONICS INDIA PRIVATE LIMITED</t>
  </si>
  <si>
    <t>FOC/2025/00015</t>
  </si>
  <si>
    <t>ARKIYA INNOVATIONS LLP</t>
  </si>
  <si>
    <t>29ACHFA5828R1ZK</t>
  </si>
  <si>
    <t>INV/2526/FW35</t>
  </si>
  <si>
    <t>INV/2526/FW36</t>
  </si>
  <si>
    <t>RAMCO INTERNATIONAL</t>
  </si>
  <si>
    <t>03AABFR4001R1ZC</t>
  </si>
  <si>
    <t>INV/2526/FW34</t>
  </si>
  <si>
    <t>Dragon 500</t>
  </si>
  <si>
    <t>PLA Natural 3D Printing Filament 1.75mm 1kg</t>
  </si>
  <si>
    <t>ZedA Designs Private Limited</t>
  </si>
  <si>
    <t>27AABCZ4831A1ZL</t>
  </si>
  <si>
    <t>INV/2526/FW33</t>
  </si>
  <si>
    <t>V6 0.4mm Nozzle Tip</t>
  </si>
  <si>
    <t>8485</t>
  </si>
  <si>
    <t>V6 Sock</t>
  </si>
  <si>
    <t>INV/2526/FW32</t>
  </si>
  <si>
    <t>TD Volcano Lite Hotend 24V (Brass  0.4mm)</t>
  </si>
  <si>
    <t>INV/2526/FW31</t>
  </si>
  <si>
    <t>UPS</t>
  </si>
  <si>
    <t>85044090</t>
  </si>
  <si>
    <t>Item</t>
  </si>
  <si>
    <t>847130</t>
  </si>
  <si>
    <t>Aquarelle India Private Limited</t>
  </si>
  <si>
    <t>29AAGCA1203Q2ZJ</t>
  </si>
  <si>
    <t>INV/2526/FW30</t>
  </si>
  <si>
    <t>PTFE Tube ID2.5 OD4</t>
  </si>
  <si>
    <t>INV/2526/FW29</t>
  </si>
  <si>
    <t>Heat Break ID - 2.1mm</t>
  </si>
  <si>
    <t>CYBEREYE RESEARCH LABS AND SECURITY SOLUTIONS PRIVATE LIMITED</t>
  </si>
  <si>
    <t>36AAFCC9451K1ZA</t>
  </si>
  <si>
    <t>INV/2526/FW28</t>
  </si>
  <si>
    <t>JAYJIT ENTERPRISES</t>
  </si>
  <si>
    <t>27EYZPS6400K1ZI</t>
  </si>
  <si>
    <t>INV/2526/FW27</t>
  </si>
  <si>
    <t>UNO MINDA LIMITED</t>
  </si>
  <si>
    <t>06AAACM1152C6Z2</t>
  </si>
  <si>
    <t>INV/2526/FW26</t>
  </si>
  <si>
    <t>ePA Nylon Natural 3D Printing Filament 1.75mm 1kg</t>
  </si>
  <si>
    <t>ABS+ Black 3D Printing Filament 1.75mm 1kg</t>
  </si>
  <si>
    <t>INV/2526/FW25</t>
  </si>
  <si>
    <t>Heat Break ID - 4mm</t>
  </si>
  <si>
    <t>mm</t>
  </si>
  <si>
    <t>Volcano 0.4mm Nozzle Tip</t>
  </si>
  <si>
    <t>INV/2526/FW24</t>
  </si>
  <si>
    <t>7mm Rubber belt</t>
  </si>
  <si>
    <t>INV/2526/FW23</t>
  </si>
  <si>
    <t>K. Ramakrishnan College of Technology</t>
  </si>
  <si>
    <t>INV/2526/FW22</t>
  </si>
  <si>
    <t>TD Volcano Full Metal Hotend 24V (Brass  0.6mm)</t>
  </si>
  <si>
    <t>TD Volcano Full Metal Hotend 24V (Hardened  0.8mm)</t>
  </si>
  <si>
    <t>TD Volcano Full Metal Hotend 24V (Hardened  0.6mm)</t>
  </si>
  <si>
    <t>TD Volcano Lite Hotend 24V (Brass  0.8mm)</t>
  </si>
  <si>
    <t>Preusse Powertrain Innovations Pvt Ltd</t>
  </si>
  <si>
    <t>29AAKCP7047F1Z2</t>
  </si>
  <si>
    <t>INV/2526/FW21</t>
  </si>
  <si>
    <t>Engr static wksp EME Khadki</t>
  </si>
  <si>
    <t>FOC/2025/00013</t>
  </si>
  <si>
    <t>Stelna Designs LLP</t>
  </si>
  <si>
    <t>29AEQFS7255D1ZH</t>
  </si>
  <si>
    <t>INV/2526/FW20</t>
  </si>
  <si>
    <t>M4x40 BHCS</t>
  </si>
  <si>
    <t>73181500</t>
  </si>
  <si>
    <t>M4 Nut</t>
  </si>
  <si>
    <t>M3x40 BHCS</t>
  </si>
  <si>
    <t>M3 Nut</t>
  </si>
  <si>
    <t>73181600</t>
  </si>
  <si>
    <t>M3x50 CSKS</t>
  </si>
  <si>
    <t>M3x30 SHCS</t>
  </si>
  <si>
    <t>24V 40mm Axial Fan</t>
  </si>
  <si>
    <t>M2x16 SHCS</t>
  </si>
  <si>
    <t>M2 Nut</t>
  </si>
  <si>
    <t>Bearing LMF12LUU</t>
  </si>
  <si>
    <t>M4x12 SHCS</t>
  </si>
  <si>
    <t>M4 Nylock Nut</t>
  </si>
  <si>
    <t>M5x20 SHCS</t>
  </si>
  <si>
    <t>M5 Nyloc Nut</t>
  </si>
  <si>
    <t>M3 Nylock Nut</t>
  </si>
  <si>
    <t>USB A-type Extender 30cm</t>
  </si>
  <si>
    <t>A-type to B-type USB Cable</t>
  </si>
  <si>
    <t>Fan Shroud 3010</t>
  </si>
  <si>
    <t>34 pin 30CM Straight FFC</t>
  </si>
  <si>
    <t>Other Engineering Services</t>
  </si>
  <si>
    <t>INV/2526/FW19</t>
  </si>
  <si>
    <t>Edutech India Pvt Ltd</t>
  </si>
  <si>
    <t>33AAACE7545B1Z3</t>
  </si>
  <si>
    <t>FOC/2025/00012</t>
  </si>
  <si>
    <t>3.5" Touch Display</t>
  </si>
  <si>
    <t>INV/2526/FW57</t>
  </si>
  <si>
    <t>TD Volcano Full Metal Hotend 24V (Hardened  0.4mm)</t>
  </si>
  <si>
    <t>Bhoruka Extrusions Pvt Ltd</t>
  </si>
  <si>
    <t>29AAFCB3642P1Z7</t>
  </si>
  <si>
    <t>INV/2526/FW55</t>
  </si>
  <si>
    <t>TOYOTA KIRLOSKAR AUTO PARTS PRIVATE LIMITED</t>
  </si>
  <si>
    <t>29AABCT5590Q1ZG</t>
  </si>
  <si>
    <t>INVFR/25-26/0007</t>
  </si>
  <si>
    <t>3D Printing Manufacturing Services</t>
  </si>
  <si>
    <t>9989</t>
  </si>
  <si>
    <t>CONTINENTAL AUTONOMOUS MOBILITY INDIA PRIVATE LIMITED</t>
  </si>
  <si>
    <t>29AAKCC5196L1ZW</t>
  </si>
  <si>
    <t>INV/2526/FW54</t>
  </si>
  <si>
    <t>SAGAR PICTURES ENTERTAINMENT PRIVATE LIMITED</t>
  </si>
  <si>
    <t>29ABHCS8192E1ZU</t>
  </si>
  <si>
    <t>INVFR/25-26/0006</t>
  </si>
  <si>
    <t>INV/2526/FW53</t>
  </si>
  <si>
    <t>PLA+ Red 3D Printing Filament 1.75mm 1kg</t>
  </si>
  <si>
    <t>PLA+ Blue 3D Printing Filament 1.75mm 1kg</t>
  </si>
  <si>
    <t>PLA+ Green 3D Printing Filament 1.75mm 1kg</t>
  </si>
  <si>
    <t>GE BE PVT LTD</t>
  </si>
  <si>
    <t>29AAACW1685J1ZW</t>
  </si>
  <si>
    <t>INV/2526/FW52</t>
  </si>
  <si>
    <t>29AAACG6714A1ZZ</t>
  </si>
  <si>
    <t>INV/2526/FW51</t>
  </si>
  <si>
    <t>Dehumidifier PCB-SF</t>
  </si>
  <si>
    <t>750W 220V AC PTC fan heater single fan</t>
  </si>
  <si>
    <t>DHT22 Temperature-Humidity Sensor</t>
  </si>
  <si>
    <t>INV/2526/FW50</t>
  </si>
  <si>
    <t>The Director</t>
  </si>
  <si>
    <t>2917IND00017ONH</t>
  </si>
  <si>
    <t>INV/2526/FW49</t>
  </si>
  <si>
    <t>FOC/2025/00020</t>
  </si>
  <si>
    <t>TREE TECH Solutions</t>
  </si>
  <si>
    <t>29AOKPB2770E1Z2</t>
  </si>
  <si>
    <t>INV/2526/FW48</t>
  </si>
  <si>
    <t>INV/2526/FW47</t>
  </si>
  <si>
    <t>12 pin 20cm straight FFC</t>
  </si>
  <si>
    <t>INV/2526/FW46</t>
  </si>
  <si>
    <t>DPLUS Architecture and Construction</t>
  </si>
  <si>
    <t>INV/2526/FW58</t>
  </si>
  <si>
    <t>INVFR/25-26/0005</t>
  </si>
  <si>
    <t>INV/2526/FW45</t>
  </si>
  <si>
    <t xml:space="preserve">PETG Natural 3D Printing Filament 1.75mm 1kg </t>
  </si>
  <si>
    <t>eFlex TPU 87A Filament 1.75mm 1Kg-Natural</t>
  </si>
  <si>
    <t>TOYODA GOSEI UNO MINDA INDIA PRIVATE LIMITED</t>
  </si>
  <si>
    <t>06AACCT9290L1ZS</t>
  </si>
  <si>
    <t>INV/2526/FW44</t>
  </si>
  <si>
    <t>BLOC42 Pvt Ltd</t>
  </si>
  <si>
    <t>29AALCB0207A1Z9</t>
  </si>
  <si>
    <t>INV/2526/FW42</t>
  </si>
  <si>
    <t>Design &amp; Machining</t>
  </si>
  <si>
    <t>INVFR/25-26/0004</t>
  </si>
  <si>
    <t>Manipal Institute of Technology</t>
  </si>
  <si>
    <t>INV/2526/FW41</t>
  </si>
  <si>
    <t>ABL PCB - Ext&amp;Adv -SF</t>
  </si>
  <si>
    <t>USB A-type To Mini B</t>
  </si>
  <si>
    <t>CORETEC ENGG INDIA PVT LTD</t>
  </si>
  <si>
    <t>29AABCC1699P1ZX</t>
  </si>
  <si>
    <t>INVFR/25-26/0003</t>
  </si>
  <si>
    <t>EIKYAM VENTURES Srikanta Pradeep</t>
  </si>
  <si>
    <t>29JNCPS3847D1ZK</t>
  </si>
  <si>
    <t>INV/2526/FW40</t>
  </si>
  <si>
    <t xml:space="preserve">eTPU- 95A Black 3D Printing Filament 1.75mm 1kg </t>
  </si>
  <si>
    <t>INV/2526/FW39</t>
  </si>
  <si>
    <t>TESS SERVICES PRIVATE LIMITED</t>
  </si>
  <si>
    <t>29AALCT1243L1ZY</t>
  </si>
  <si>
    <t>INVFR/25-26/0002</t>
  </si>
  <si>
    <t>FOC/2025/00019</t>
  </si>
  <si>
    <t>Magnetic Base 265x275</t>
  </si>
  <si>
    <t>INVFR/25-26/0001</t>
  </si>
  <si>
    <t>Bright Side Engineering Solutions</t>
  </si>
  <si>
    <t>29ASVPJ9341A1ZE</t>
  </si>
  <si>
    <t>INV/2526/FW106</t>
  </si>
  <si>
    <t>Dr.Sivaperumal R</t>
  </si>
  <si>
    <t>INV/2526/FW105</t>
  </si>
  <si>
    <t>Mohan Mariwala</t>
  </si>
  <si>
    <t>INV/2526/FW104</t>
  </si>
  <si>
    <t>Somashekar Reddy</t>
  </si>
  <si>
    <t>INV/2526/FW103</t>
  </si>
  <si>
    <t>A.P. Enterprise</t>
  </si>
  <si>
    <t>24AYKPV0827E1ZE</t>
  </si>
  <si>
    <t>INV/2526/FW102</t>
  </si>
  <si>
    <t>Rajesh Sharma</t>
  </si>
  <si>
    <t>INV/2526/FW101</t>
  </si>
  <si>
    <t>PrintStick Plus</t>
  </si>
  <si>
    <t>Hridoy Bala</t>
  </si>
  <si>
    <t>INV/2526/FW100</t>
  </si>
  <si>
    <t>GE BE Private Limited</t>
  </si>
  <si>
    <t>INV/2526/FW99</t>
  </si>
  <si>
    <t>ABS+ Natural 3D Printing Filament 1.75mm 1kg</t>
  </si>
  <si>
    <t>84433290</t>
  </si>
  <si>
    <t>Nipper (Filament Cutter) - Acc</t>
  </si>
  <si>
    <t>Anand Babu</t>
  </si>
  <si>
    <t>INV/2526/FW98</t>
  </si>
  <si>
    <t>Charan Brahmandam</t>
  </si>
  <si>
    <t>INV/2526/FW97</t>
  </si>
  <si>
    <t>Ayan Ghosh</t>
  </si>
  <si>
    <t>INV/2526/FW96</t>
  </si>
  <si>
    <t>INV/2526/FW95</t>
  </si>
  <si>
    <t>Mukul Prajapat</t>
  </si>
  <si>
    <t>INV/2526/FW94</t>
  </si>
  <si>
    <t>TECHSER POWER SOLUTIONS PVT. LTD.</t>
  </si>
  <si>
    <t>29AABCT0359D1ZI</t>
  </si>
  <si>
    <t>INV/2526/FW93</t>
  </si>
  <si>
    <t>INV/2526/FW92</t>
  </si>
  <si>
    <t>DEVENDRA KUMAR</t>
  </si>
  <si>
    <t>INV/2526/FW91</t>
  </si>
  <si>
    <t>Tejas Mahadik</t>
  </si>
  <si>
    <t>INV/2526/FW90</t>
  </si>
  <si>
    <t>INV/2526/FW89</t>
  </si>
  <si>
    <t>Dhruv Agarwal</t>
  </si>
  <si>
    <t>INV/2526/FW88</t>
  </si>
  <si>
    <t>INV/2526/FW87</t>
  </si>
  <si>
    <t>Nitin Parmar</t>
  </si>
  <si>
    <t>INV/2526/FW86</t>
  </si>
  <si>
    <t>ProtoTeck Technologies</t>
  </si>
  <si>
    <t>24CFVPR7197R1ZW</t>
  </si>
  <si>
    <t>INV/2526/FW85</t>
  </si>
  <si>
    <t>INV/2526/FW84</t>
  </si>
  <si>
    <t>TD Volcano Full Metal Hotend 24V (Brass  0.4mm)</t>
  </si>
  <si>
    <t>Pei powder coated TD400</t>
  </si>
  <si>
    <t>Amicikart Online Services Pvt Ltd</t>
  </si>
  <si>
    <t>09AAMCA8029N1Z0</t>
  </si>
  <si>
    <t>INV/2526/FW83</t>
  </si>
  <si>
    <t>ILLUMINIFY TECHNOLOGIES PRIVATE LIMITED</t>
  </si>
  <si>
    <t>29AAFCI2548M1Z3</t>
  </si>
  <si>
    <t>INV/2526/FW82</t>
  </si>
  <si>
    <t>Rachna Agrawal</t>
  </si>
  <si>
    <t>INV/2526/FW81</t>
  </si>
  <si>
    <t>KAMADHENU AUTO CNC PRIVATE LIMITED</t>
  </si>
  <si>
    <t>29AACCK5427C1ZP</t>
  </si>
  <si>
    <t>INV/2526/FW80</t>
  </si>
  <si>
    <t>Yash Rai</t>
  </si>
  <si>
    <t>INV/2526/FW79</t>
  </si>
  <si>
    <t>Akshay Nagarmat</t>
  </si>
  <si>
    <t>INV/2526/FW78</t>
  </si>
  <si>
    <t>POLYASTRA LLP</t>
  </si>
  <si>
    <t>27AAYFP1973H1ZJ</t>
  </si>
  <si>
    <t>INV/2526/FW77</t>
  </si>
  <si>
    <t>George Varghese</t>
  </si>
  <si>
    <t>INV/2526/FW76</t>
  </si>
  <si>
    <t>Harshit Agarwal</t>
  </si>
  <si>
    <t>INV/2526/FW75</t>
  </si>
  <si>
    <t>Michael Mendonca</t>
  </si>
  <si>
    <t>INV/2526/FW74</t>
  </si>
  <si>
    <t>Granth Nahata</t>
  </si>
  <si>
    <t>INV/2526/FW73</t>
  </si>
  <si>
    <t>FOC/2025/00023</t>
  </si>
  <si>
    <t>BMG Extruder</t>
  </si>
  <si>
    <t>24V 80X38mm FAN</t>
  </si>
  <si>
    <t>LUMINEX ELECTRONICS</t>
  </si>
  <si>
    <t>24AAKFL8193R1ZC</t>
  </si>
  <si>
    <t>INV/2526/FW72</t>
  </si>
  <si>
    <t>Felix Jebaston</t>
  </si>
  <si>
    <t>INV/2526/FW71</t>
  </si>
  <si>
    <t>Abhishek Singh</t>
  </si>
  <si>
    <t>INV/2526/FW70</t>
  </si>
  <si>
    <t>MAULIK PATEL</t>
  </si>
  <si>
    <t>INV/2526/FW69</t>
  </si>
  <si>
    <t>Suraj Chitalkar</t>
  </si>
  <si>
    <t>INV/2526/FW68</t>
  </si>
  <si>
    <t>GREAVES ELECTRIC MOBILITY PRIVATE LIMITED-TN</t>
  </si>
  <si>
    <t>33AAHCA0665K1ZQ</t>
  </si>
  <si>
    <t>INV/2526/FW67</t>
  </si>
  <si>
    <t>C3 MED-TECH PRIVATE LIMITED</t>
  </si>
  <si>
    <t>24AAICC4537H1ZQ</t>
  </si>
  <si>
    <t>INV/2526/FW66</t>
  </si>
  <si>
    <t>FOC/2025/00022</t>
  </si>
  <si>
    <t>INV/2526/FW65</t>
  </si>
  <si>
    <t>INV/2526/FW64</t>
  </si>
  <si>
    <t>INV/2526/FW63</t>
  </si>
  <si>
    <t>INV/2526/FW62</t>
  </si>
  <si>
    <t>Volcano Lite Hotend 24V (Brass  0.6mm)</t>
  </si>
  <si>
    <t>INV/2526/FW61</t>
  </si>
  <si>
    <t>Extruder Spring (Julia series)01</t>
  </si>
  <si>
    <t>20 pin 60cm straight FFC</t>
  </si>
  <si>
    <t>Motor Backplate ABS Pro E0</t>
  </si>
  <si>
    <t>Motor Backplate ABS Pro E1</t>
  </si>
  <si>
    <t>Motor Backplate ABS (Ext. &amp; Adv.)</t>
  </si>
  <si>
    <t>PRECIOUS3D</t>
  </si>
  <si>
    <t>33BSKPR8564H1Z6</t>
  </si>
  <si>
    <t>FOC/2025/00021</t>
  </si>
  <si>
    <t>3D Printing (Manufacturing Services)</t>
  </si>
  <si>
    <t>INVFR/25-26/0008</t>
  </si>
  <si>
    <t>Sushanth</t>
  </si>
  <si>
    <t>INV/2526/FW60</t>
  </si>
  <si>
    <t>Vijay Kumar</t>
  </si>
  <si>
    <t>INV/2526/FW59</t>
  </si>
  <si>
    <t>ETOE Interconnections Pvt Ltd.</t>
  </si>
  <si>
    <t>29AADCE5777G1Z9</t>
  </si>
  <si>
    <t>INVFR/25-26/0013</t>
  </si>
  <si>
    <t>Nikhil Thatar</t>
  </si>
  <si>
    <t>INV/2526/FW153</t>
  </si>
  <si>
    <t>INV/2526/FW152</t>
  </si>
  <si>
    <t>Comprehensive AMC</t>
  </si>
  <si>
    <t>Days</t>
  </si>
  <si>
    <t>Happiest Minds Technologies Limited Happiest Minds Technologies Ltd</t>
  </si>
  <si>
    <t>29AACCH6301G1ZT</t>
  </si>
  <si>
    <t>INV/2526/FW151</t>
  </si>
  <si>
    <t>pratik bhagwat</t>
  </si>
  <si>
    <t>INV/2526/FW150</t>
  </si>
  <si>
    <t>INV/2526/FW149</t>
  </si>
  <si>
    <t>yuvraj</t>
  </si>
  <si>
    <t>INV/2526/FW148</t>
  </si>
  <si>
    <t>Aaron Abi</t>
  </si>
  <si>
    <t>INV/2526/FW147</t>
  </si>
  <si>
    <t>Shailesh Suresh - Goa</t>
  </si>
  <si>
    <t>INV/2526/FW146</t>
  </si>
  <si>
    <t>INV/2526/FW145</t>
  </si>
  <si>
    <t>34 pin 120cm straight FFC</t>
  </si>
  <si>
    <t>FOC/2025/00024</t>
  </si>
  <si>
    <t>Shailendra G Mane</t>
  </si>
  <si>
    <t>INV/2526/FW144</t>
  </si>
  <si>
    <t>Rintu selvam Selvam</t>
  </si>
  <si>
    <t>INV/2526/FW143</t>
  </si>
  <si>
    <t>M Viswanath</t>
  </si>
  <si>
    <t>INV/2526/FW142</t>
  </si>
  <si>
    <t>Shivaramakrishnan</t>
  </si>
  <si>
    <t>INV/2526/FW141</t>
  </si>
  <si>
    <t>Hobigo Enterprises</t>
  </si>
  <si>
    <t>23CLLPG8252Q1ZI</t>
  </si>
  <si>
    <t>INV/2526/FW140</t>
  </si>
  <si>
    <t>Sahil Amin</t>
  </si>
  <si>
    <t>INV/2526/FW139</t>
  </si>
  <si>
    <t>Rishabh Naik</t>
  </si>
  <si>
    <t>INV/2526/FW138</t>
  </si>
  <si>
    <t>Srikanth Vidapanakal</t>
  </si>
  <si>
    <t>INV/2526/FW137</t>
  </si>
  <si>
    <t>Hruday Bedre</t>
  </si>
  <si>
    <t>INV/2526/FW136</t>
  </si>
  <si>
    <t>INVFR/25-26/0012</t>
  </si>
  <si>
    <t>INVFR/25-26/0011</t>
  </si>
  <si>
    <t>INV/2526/FW135</t>
  </si>
  <si>
    <t>INDIAN INSTITUTE OF SCIENCE Prof. Bobji</t>
  </si>
  <si>
    <t>INV/2526/FW134</t>
  </si>
  <si>
    <t>MITRA INDUSTRIES (Dr.)</t>
  </si>
  <si>
    <t>29ACDPN5388D1ZC</t>
  </si>
  <si>
    <t>INV/2526/FW133</t>
  </si>
  <si>
    <t>Service Visit Charges</t>
  </si>
  <si>
    <t>M6x25 Star Knob</t>
  </si>
  <si>
    <t>83024900</t>
  </si>
  <si>
    <t>Arun Singh Baghel</t>
  </si>
  <si>
    <t>INV/2526/FW132</t>
  </si>
  <si>
    <t>Mrugendra Thombare</t>
  </si>
  <si>
    <t>INV/2526/FW131</t>
  </si>
  <si>
    <t>Dinesh Kumar</t>
  </si>
  <si>
    <t>INV/2526/FW130</t>
  </si>
  <si>
    <t>Jacob Chhakchhuak</t>
  </si>
  <si>
    <t>INV/2526/FW129</t>
  </si>
  <si>
    <t>Anand Vaidyanathan</t>
  </si>
  <si>
    <t>INV/2526/FW128</t>
  </si>
  <si>
    <t>LAT AEROSPACE PRIVATE LIMITED</t>
  </si>
  <si>
    <t>06AAGCL1108D1Z4</t>
  </si>
  <si>
    <t>INV/2526/FW127</t>
  </si>
  <si>
    <t>Dragon 400</t>
  </si>
  <si>
    <t>Work Table with storage</t>
  </si>
  <si>
    <t xml:space="preserve">PETG Solid White 3D Printing Filament 1.75mm 1kg  </t>
  </si>
  <si>
    <t>TD Volcano Lite Hotend 24V (Brass  0.2mm)</t>
  </si>
  <si>
    <t>Volcano Full Metal Hotend 24V (Hardened  0.4mm)</t>
  </si>
  <si>
    <t>CENTRAL MANUFACTURING TECHNOLOGY INSTITUTE</t>
  </si>
  <si>
    <t>29AAATC2085K1ZJ</t>
  </si>
  <si>
    <t>INV/2526/FW126</t>
  </si>
  <si>
    <t>Custom Build 3D Printer Sales Sales</t>
  </si>
  <si>
    <t>847780</t>
  </si>
  <si>
    <t>Sidharth M M</t>
  </si>
  <si>
    <t>INV/2526/FW125</t>
  </si>
  <si>
    <t>BOFFIN BUTLER PRIVATE LIMITED</t>
  </si>
  <si>
    <t>33AAGCB8748R1ZW</t>
  </si>
  <si>
    <t>INV/2526/FW124</t>
  </si>
  <si>
    <t>Ishan thakore</t>
  </si>
  <si>
    <t>INV/2526/FW123</t>
  </si>
  <si>
    <t>INVFR/25-26/0010</t>
  </si>
  <si>
    <t>Vivek kumar kanaujia</t>
  </si>
  <si>
    <t>INV/2526/FW122</t>
  </si>
  <si>
    <t>Akshay Singh Yadav</t>
  </si>
  <si>
    <t>INV/2526/FW121</t>
  </si>
  <si>
    <t>Arish Tripathi</t>
  </si>
  <si>
    <t>INV/2526/FW120</t>
  </si>
  <si>
    <t>INV/2526/FW119</t>
  </si>
  <si>
    <t>Deepak Verma</t>
  </si>
  <si>
    <t>INV/2526/FW118</t>
  </si>
  <si>
    <t>Karthik N</t>
  </si>
  <si>
    <t>INV/2526/FW117</t>
  </si>
  <si>
    <t>Anush goel</t>
  </si>
  <si>
    <t>INV/2526/FW116</t>
  </si>
  <si>
    <t>KIRLOSKAR TOYOTA TEXTILE MACHINERY PRIVATE LIMITED</t>
  </si>
  <si>
    <t>29AAFCT3122J1ZA</t>
  </si>
  <si>
    <t>INVFR/25-26/0009</t>
  </si>
  <si>
    <t>INV/2526/FW115</t>
  </si>
  <si>
    <t>Volcano Lite Hotend 24V (Brass  0.4mm)</t>
  </si>
  <si>
    <t>Prathamesh Prakash labde</t>
  </si>
  <si>
    <t>INV/2526/FW114</t>
  </si>
  <si>
    <t>Aditya Singh</t>
  </si>
  <si>
    <t>INV/2526/FW113</t>
  </si>
  <si>
    <t>Karthik D</t>
  </si>
  <si>
    <t>INV/2526/FW112</t>
  </si>
  <si>
    <t>Bharati Gupta</t>
  </si>
  <si>
    <t>INV/2526/FW111</t>
  </si>
  <si>
    <t>Prajas Narayan</t>
  </si>
  <si>
    <t>INV/2526/FW110</t>
  </si>
  <si>
    <t>Srihari Sridhar</t>
  </si>
  <si>
    <t>INV/2526/FW109</t>
  </si>
  <si>
    <t>Dhruval Contractor</t>
  </si>
  <si>
    <t>INV/2526/FW108</t>
  </si>
  <si>
    <t>INV/2526/FW107</t>
  </si>
  <si>
    <t>Travelling and Accommodation</t>
  </si>
  <si>
    <t>INV/2526/FW171</t>
  </si>
  <si>
    <t>Jay PATEL</t>
  </si>
  <si>
    <t>INV/2526/FW170</t>
  </si>
  <si>
    <t>INV/2526/FW169</t>
  </si>
  <si>
    <t>Kinnal Patel</t>
  </si>
  <si>
    <t>INV/2526/FW168</t>
  </si>
  <si>
    <t>BREVERA TECHNOLOGIES PRIVATE LIMITED</t>
  </si>
  <si>
    <t>29AAFCB7108Q1Z4</t>
  </si>
  <si>
    <t>INV/2526/FW167</t>
  </si>
  <si>
    <t>INVFR/25-26/0020</t>
  </si>
  <si>
    <t>INVFR/25-26/0019</t>
  </si>
  <si>
    <t>INVFR/25-26/0018</t>
  </si>
  <si>
    <t>INV/2526/FW166</t>
  </si>
  <si>
    <t>INVFR/25-26/0017</t>
  </si>
  <si>
    <t>M Rakshith Rai</t>
  </si>
  <si>
    <t>INV/2526/FW165</t>
  </si>
  <si>
    <t>FOC/2025/00025</t>
  </si>
  <si>
    <t>Power Switch with LED 19mm 220V</t>
  </si>
  <si>
    <t>3DP Back Plate</t>
  </si>
  <si>
    <t>INVFR/25-26/0016</t>
  </si>
  <si>
    <t>TK SPORTS PRIVATE LIMITED</t>
  </si>
  <si>
    <t>03AADCT7807L1Z6</t>
  </si>
  <si>
    <t>INV/2526/FW164</t>
  </si>
  <si>
    <t>INV/2526/FW163</t>
  </si>
  <si>
    <t>Royalina Art Gallery</t>
  </si>
  <si>
    <t>29BZRPK4364E1ZX</t>
  </si>
  <si>
    <t>INV/2526/FW162</t>
  </si>
  <si>
    <t>BELLATRIX AEROSPACE PRIVATE LIMITED</t>
  </si>
  <si>
    <t>29AAGCB1918F1ZS</t>
  </si>
  <si>
    <t>INV/2526/FW161</t>
  </si>
  <si>
    <t>Maneesh Varshney</t>
  </si>
  <si>
    <t>INV/2526/FW160</t>
  </si>
  <si>
    <t>Intech Additive Solutions Pvt. Ltd</t>
  </si>
  <si>
    <t>29AADCI0992F1ZG</t>
  </si>
  <si>
    <t>INVFR/25-26/0015</t>
  </si>
  <si>
    <t>The Director ISRO</t>
  </si>
  <si>
    <t>INVFR/25-26/0014</t>
  </si>
  <si>
    <t>A Ganesh Pandian</t>
  </si>
  <si>
    <t>INV/2526/FW158</t>
  </si>
  <si>
    <t>parth Lekhadiya</t>
  </si>
  <si>
    <t>INV/2526/FW157</t>
  </si>
  <si>
    <t>Indivar</t>
  </si>
  <si>
    <t>INV/2526/FW156</t>
  </si>
  <si>
    <t>INV/2526/FW155</t>
  </si>
  <si>
    <t>Ram Wadhwani</t>
  </si>
  <si>
    <t>INV/2526/FW154</t>
  </si>
  <si>
    <t>INV/2526/FW199</t>
  </si>
  <si>
    <t>[3D Printer Sales Sales] Julia 250</t>
  </si>
  <si>
    <t>Integral systems and components pvt ltd  Southern Electronics (Bangalore) Pvt. Ltd.</t>
  </si>
  <si>
    <t>29AAACI3949K1Z5</t>
  </si>
  <si>
    <t>INV/2526/FW198</t>
  </si>
  <si>
    <t>Macmium Engineering Private Limited</t>
  </si>
  <si>
    <t>29AANCM4976B1Z2</t>
  </si>
  <si>
    <t>INVFR/25-26/0023</t>
  </si>
  <si>
    <t>WaterScience -Aquagenics R&amp;D India Pvt Ltd</t>
  </si>
  <si>
    <t>INVFR/25-26/0022</t>
  </si>
  <si>
    <t>PURE N SAFE PRIVATE LIMITED</t>
  </si>
  <si>
    <t>07AAKCP8453B1ZC</t>
  </si>
  <si>
    <t>INVFR/25-26/0021</t>
  </si>
  <si>
    <t>INV/2526/FW197</t>
  </si>
  <si>
    <t>Sanjay Mudartha</t>
  </si>
  <si>
    <t>INV/2526/FW196</t>
  </si>
  <si>
    <t>Akhilesh Goyal</t>
  </si>
  <si>
    <t>INV/2526/FW195</t>
  </si>
  <si>
    <t>Tuneer Ghosh</t>
  </si>
  <si>
    <t>INV/2526/FW194</t>
  </si>
  <si>
    <t>Manish Buttan</t>
  </si>
  <si>
    <t>INV/2526/FW193</t>
  </si>
  <si>
    <t>Vishal Jain</t>
  </si>
  <si>
    <t>INV/2526/FW192</t>
  </si>
  <si>
    <t>carthik babu</t>
  </si>
  <si>
    <t>INV/2526/FW191</t>
  </si>
  <si>
    <t>Geo Babu</t>
  </si>
  <si>
    <t>32APFPB9362N1ZP</t>
  </si>
  <si>
    <t>INV/2526/FW190</t>
  </si>
  <si>
    <t>Parimal Purandare</t>
  </si>
  <si>
    <t>INV/2526/FW189</t>
  </si>
  <si>
    <t>Jaspreet Mahal</t>
  </si>
  <si>
    <t>INV/2526/FW188</t>
  </si>
  <si>
    <t>Kishore Jangid</t>
  </si>
  <si>
    <t>INV/2526/FW187</t>
  </si>
  <si>
    <t>Betly Technologies Pvt Ltd</t>
  </si>
  <si>
    <t>29AALCB0644F1ZQ</t>
  </si>
  <si>
    <t>INV/2526/FW186</t>
  </si>
  <si>
    <t>JIGNESH PATEL</t>
  </si>
  <si>
    <t>INV/2526/FW185</t>
  </si>
  <si>
    <t>TECHNO GRAVITY SOLUTIONS</t>
  </si>
  <si>
    <t>INV/2526/FW184</t>
  </si>
  <si>
    <t>Soham Roy</t>
  </si>
  <si>
    <t>INV/2526/FW183</t>
  </si>
  <si>
    <t>Akash Gupta</t>
  </si>
  <si>
    <t>INV/2526/FW182</t>
  </si>
  <si>
    <t>Abdul sukoor Moideen</t>
  </si>
  <si>
    <t>INV/2526/FW181</t>
  </si>
  <si>
    <t>Arnav Malhotra</t>
  </si>
  <si>
    <t>INV/2526/FW180</t>
  </si>
  <si>
    <t>Vedang singhania</t>
  </si>
  <si>
    <t>INV/2526/FW179</t>
  </si>
  <si>
    <t>Ekveer Sahoo</t>
  </si>
  <si>
    <t>INV/2526/FW178</t>
  </si>
  <si>
    <t>LUMEVO</t>
  </si>
  <si>
    <t>19CDZPK4373C1Z1</t>
  </si>
  <si>
    <t>INV/2526/FW177</t>
  </si>
  <si>
    <t>INV/2526/FW176</t>
  </si>
  <si>
    <t>ePA-CF 3D Printing Filament 1.75mm 1kg</t>
  </si>
  <si>
    <t>Sam stephen</t>
  </si>
  <si>
    <t>INV/2526/FW175</t>
  </si>
  <si>
    <t>Ayush chawla</t>
  </si>
  <si>
    <t>INV/2526/FW174</t>
  </si>
  <si>
    <t>Vipin Ravindran</t>
  </si>
  <si>
    <t>INV/2526/FW173</t>
  </si>
  <si>
    <t>JANMEJAYA PATRA</t>
  </si>
  <si>
    <t>INV/2526/FW172</t>
  </si>
  <si>
    <t>NITTE (DEEMED TO BE UNIVERSITY)</t>
  </si>
  <si>
    <t>29AABTN0060A1Z5</t>
  </si>
  <si>
    <t>INVFR/25-26/0026</t>
  </si>
  <si>
    <t>INV/2526/FW213</t>
  </si>
  <si>
    <t>INV/2526/FW212</t>
  </si>
  <si>
    <t>Aakash malhotra</t>
  </si>
  <si>
    <t>INV/2526/FW211</t>
  </si>
  <si>
    <t>Brenton Leavers</t>
  </si>
  <si>
    <t>INV/2526/FW210</t>
  </si>
  <si>
    <t>GS Mohan</t>
  </si>
  <si>
    <t>INV/2526/FW209</t>
  </si>
  <si>
    <t>Gaurang Rajendra Kanvinde</t>
  </si>
  <si>
    <t>INV/2526/FW208</t>
  </si>
  <si>
    <t>Snowflake</t>
  </si>
  <si>
    <t>INV/2526/FW207</t>
  </si>
  <si>
    <t>JST 2.5MM 4 PIN- Female</t>
  </si>
  <si>
    <t>REYAMSH LIGHTING SOLUTIONS LLP</t>
  </si>
  <si>
    <t>29ABIFR9835P1Z1</t>
  </si>
  <si>
    <t>INV/2526/FW206</t>
  </si>
  <si>
    <t>INV/2526/FW205</t>
  </si>
  <si>
    <t>Item (XYZ manipulator &amp; Nozzle For 2 Material  )</t>
  </si>
  <si>
    <t>Item (Extruder Peristatic pump for 2 extruders for 2 Materials )</t>
  </si>
  <si>
    <t>MANIPAL ACADEMY OF HIGHER EDUCATION</t>
  </si>
  <si>
    <t>INV/2526/FW204</t>
  </si>
  <si>
    <t>Filament Dryer</t>
  </si>
  <si>
    <t>Gara Shashi kumar</t>
  </si>
  <si>
    <t>INV/2526/FW203</t>
  </si>
  <si>
    <t>INVFR/25-26/0025</t>
  </si>
  <si>
    <t>INVFR/25-26/0024</t>
  </si>
  <si>
    <t>INV/2526/FW201</t>
  </si>
  <si>
    <t>STUDIO MG PRIVATE LIMITED</t>
  </si>
  <si>
    <t>06ABNCS2428R1ZM</t>
  </si>
  <si>
    <t>INV/2526/FW200</t>
  </si>
  <si>
    <t>INVFR/25-26/0027</t>
  </si>
  <si>
    <t>USAM TECHNOLOGY SOLUTIONS PRIVATE LIMITED</t>
  </si>
  <si>
    <t>33AAACU5427E1ZO</t>
  </si>
  <si>
    <t>INV/2526/FW218</t>
  </si>
  <si>
    <t>Volcano Full Metal Hotend 24V (Hardened  0.6mm)</t>
  </si>
  <si>
    <t>TE CONNECTIVITY INDIA PRIVATE LIMITED</t>
  </si>
  <si>
    <t>29AABCT7374C1Z7</t>
  </si>
  <si>
    <t>INV/2526/FW217</t>
  </si>
  <si>
    <t>Formlabs High Temp Resin (Form3) 1L</t>
  </si>
  <si>
    <t>Formlabs Tough 1500 Resin (Form3) 1L</t>
  </si>
  <si>
    <t>Nagharajan</t>
  </si>
  <si>
    <t>INV/2526/FW216</t>
  </si>
  <si>
    <t>INV/2526/FW215</t>
  </si>
  <si>
    <t>Abinesh Lal S M</t>
  </si>
  <si>
    <t>INV/2526/FW214</t>
  </si>
  <si>
    <t>INVFR/25-26/0028</t>
  </si>
  <si>
    <t>Akshat Gupta</t>
  </si>
  <si>
    <t>INV/2526/FW237</t>
  </si>
  <si>
    <t>Raja naren</t>
  </si>
  <si>
    <t>INV/2526/FW236</t>
  </si>
  <si>
    <t>Madhav Malhotra</t>
  </si>
  <si>
    <t>INV/2526/FW235</t>
  </si>
  <si>
    <t>INV/2526/FW234</t>
  </si>
  <si>
    <t>Julia 200</t>
  </si>
  <si>
    <t>Pei powder coated 210</t>
  </si>
  <si>
    <t>Devang kohli</t>
  </si>
  <si>
    <t>INV/2526/FW233</t>
  </si>
  <si>
    <t>Integral Systems and Components Pvt. Ltd.</t>
  </si>
  <si>
    <t>INV/2526/FW232</t>
  </si>
  <si>
    <t>ePC 3D Printing Filament 1.75mm 0.5kg</t>
  </si>
  <si>
    <t>Raj Sonawane</t>
  </si>
  <si>
    <t>INV/2526/FW231</t>
  </si>
  <si>
    <t>INV/2526/FW230</t>
  </si>
  <si>
    <t>Pei powder coated 420</t>
  </si>
  <si>
    <t>MAGNETIC BASE 440X420</t>
  </si>
  <si>
    <t>Aluminum 6mm bed Plate 420x450 (Volterra)</t>
  </si>
  <si>
    <t>SSR JG-ZG3MC-310B</t>
  </si>
  <si>
    <t>Wire 1.5sq Red</t>
  </si>
  <si>
    <t>Wire 1.5sq Green</t>
  </si>
  <si>
    <t>Red - Black Wire</t>
  </si>
  <si>
    <t>Green terminal block for Bed</t>
  </si>
  <si>
    <t>24 V 60mm FAN</t>
  </si>
  <si>
    <t>MKS Gen L V2.1</t>
  </si>
  <si>
    <t>MKS TMC2209</t>
  </si>
  <si>
    <t>Gleam Innovation Pvt. Ltd. Bangalore</t>
  </si>
  <si>
    <t>29AAKCG4690F1Z8</t>
  </si>
  <si>
    <t>INV/2526/FW229</t>
  </si>
  <si>
    <t>HSR15R1SSC1 + 600L</t>
  </si>
  <si>
    <t>M4x70 Chees Head</t>
  </si>
  <si>
    <t>Shoulder PT-SH-HT-SB-05-M4-040-ML</t>
  </si>
  <si>
    <t>Volcano Lite Hotend Volterra (Brass  0.4mm)</t>
  </si>
  <si>
    <t>Service on Timesheets</t>
  </si>
  <si>
    <t>Round off</t>
  </si>
  <si>
    <t>Shubham Mittal</t>
  </si>
  <si>
    <t>INV/2526/FW228</t>
  </si>
  <si>
    <t>Rajat Ramdas Kohade</t>
  </si>
  <si>
    <t>INV/2526/FW227</t>
  </si>
  <si>
    <t>Preet Grewal</t>
  </si>
  <si>
    <t>INV/2526/FW226</t>
  </si>
  <si>
    <t>Kiran Kinare</t>
  </si>
  <si>
    <t>INV/2526/FW225</t>
  </si>
  <si>
    <t>Harsimran Singh</t>
  </si>
  <si>
    <t>INV/2526/FW224</t>
  </si>
  <si>
    <t>paresh mesurani</t>
  </si>
  <si>
    <t>INV/2526/FW223</t>
  </si>
  <si>
    <t>Clinohealth inovation</t>
  </si>
  <si>
    <t>INV/2526/FW222</t>
  </si>
  <si>
    <t>Abhijeet R S</t>
  </si>
  <si>
    <t>INV/2526/FW221</t>
  </si>
  <si>
    <t>sunny saigal</t>
  </si>
  <si>
    <t>INV/2526/FW220</t>
  </si>
  <si>
    <t>Z-Axis Design Private Limited</t>
  </si>
  <si>
    <t>INV/2526/FW219</t>
  </si>
  <si>
    <t>TE CONNECTIVITY INDIA PVT LTD</t>
  </si>
  <si>
    <t>INV/2526/FW249</t>
  </si>
  <si>
    <t xml:space="preserve">Formlabs Grey Pro Resin (Form3) 1L </t>
  </si>
  <si>
    <t>units</t>
  </si>
  <si>
    <t>Indian Institute of Science The Chair</t>
  </si>
  <si>
    <t>INV/2526/FW248</t>
  </si>
  <si>
    <t>Clay printing head</t>
  </si>
  <si>
    <t>INV/2526/FW247</t>
  </si>
  <si>
    <t>INV/2526/FW246</t>
  </si>
  <si>
    <t>vaibhav kaushal</t>
  </si>
  <si>
    <t>INV/2526/FW245</t>
  </si>
  <si>
    <t>Karthik KPN</t>
  </si>
  <si>
    <t>INV/2526/FW244</t>
  </si>
  <si>
    <t>Vinoth Kumar</t>
  </si>
  <si>
    <t>INV/2526/FW243</t>
  </si>
  <si>
    <t>EdtoDo Technovations LLP</t>
  </si>
  <si>
    <t>33AALFE3175F1ZK</t>
  </si>
  <si>
    <t>INV/2526/FW242</t>
  </si>
  <si>
    <t>INVFR/25-26/0029</t>
  </si>
  <si>
    <t>Harsh Agarwal</t>
  </si>
  <si>
    <t>INV/2526/FW241</t>
  </si>
  <si>
    <t>Rutuj Wankhade</t>
  </si>
  <si>
    <t>INV/2526/FW240</t>
  </si>
  <si>
    <t>Capt Mayur Manapure</t>
  </si>
  <si>
    <t>INV/2526/FW239</t>
  </si>
  <si>
    <t>[3D Printer] Julia 250</t>
  </si>
  <si>
    <t>INV/2526/FW238</t>
  </si>
  <si>
    <t>V6 Full Metal Hotend 24V (Hardened  0.6mm)</t>
  </si>
  <si>
    <t>INV/2526/FW259</t>
  </si>
  <si>
    <t>Formlabs White Resin (Form3) 1L</t>
  </si>
  <si>
    <t>Midhun Sreekumar Menon</t>
  </si>
  <si>
    <t>INV/2526/FW258</t>
  </si>
  <si>
    <t>INV/2526/FW257</t>
  </si>
  <si>
    <t>INV/2526/FW256</t>
  </si>
  <si>
    <t>Karthik Prasad</t>
  </si>
  <si>
    <t>INV/2526/FW255</t>
  </si>
  <si>
    <t>Gan Tools and Components</t>
  </si>
  <si>
    <t>29ABJPG4797J1ZZ</t>
  </si>
  <si>
    <t>INVFR/25-26/0030</t>
  </si>
  <si>
    <t>Joston Fernandes</t>
  </si>
  <si>
    <t>INV/2526/FW254</t>
  </si>
  <si>
    <t>PSIT KANPUR</t>
  </si>
  <si>
    <t>INV/2526/FW253</t>
  </si>
  <si>
    <t>Sandeep PS</t>
  </si>
  <si>
    <t>INV/2526/FW252</t>
  </si>
  <si>
    <t>INV/2526/FW251</t>
  </si>
  <si>
    <t>INV/2526/FW250</t>
  </si>
  <si>
    <t>E3d Aluminium Heatsink</t>
  </si>
  <si>
    <t>Expected Closure</t>
  </si>
  <si>
    <t>Deal Owner</t>
  </si>
  <si>
    <t>Amount</t>
  </si>
  <si>
    <t>Deal Name</t>
  </si>
  <si>
    <t>Machine Name</t>
  </si>
  <si>
    <t>Account Name</t>
  </si>
  <si>
    <t>Stage</t>
  </si>
  <si>
    <t>Probability (%)</t>
  </si>
  <si>
    <t>Probability ()</t>
  </si>
  <si>
    <t>Next Step</t>
  </si>
  <si>
    <t>Lead Source</t>
  </si>
  <si>
    <t>Description</t>
  </si>
  <si>
    <t>Contact Name</t>
  </si>
  <si>
    <t>Expected Revenue</t>
  </si>
  <si>
    <t>Currency</t>
  </si>
  <si>
    <t>Exchange Rate</t>
  </si>
  <si>
    <t>Lead Conversion Time</t>
  </si>
  <si>
    <t>Sales Cycle Duration</t>
  </si>
  <si>
    <t>Overall Sales Duration</t>
  </si>
  <si>
    <t>Lead Generated By</t>
  </si>
  <si>
    <t>Sale Channel</t>
  </si>
  <si>
    <t>Customer Requirement(s)</t>
  </si>
  <si>
    <t>Q2</t>
  </si>
  <si>
    <t>Vijay Varada</t>
  </si>
  <si>
    <t>INA - Kannur</t>
  </si>
  <si>
    <t>Volterra</t>
  </si>
  <si>
    <t>Negotiation / Tendering</t>
  </si>
  <si>
    <t>Expecting tender opening 2nd week Aug</t>
  </si>
  <si>
    <t>Website</t>
  </si>
  <si>
    <t>Volterra + Accessories</t>
  </si>
  <si>
    <t>Dadi Ravikanth</t>
  </si>
  <si>
    <t>INR</t>
  </si>
  <si>
    <t>Geo Tijo</t>
  </si>
  <si>
    <t>3d printer requirment</t>
  </si>
  <si>
    <t>colorz india pvt ltd</t>
  </si>
  <si>
    <t>New Lead</t>
  </si>
  <si>
    <t>Sunil sethi</t>
  </si>
  <si>
    <t>Q1'25 - Dragon400</t>
  </si>
  <si>
    <t>Julia 250</t>
  </si>
  <si>
    <t>Mother India farming</t>
  </si>
  <si>
    <t>Sales Qualified Lead</t>
  </si>
  <si>
    <t>Direct Prospecting</t>
  </si>
  <si>
    <t>Sudharshan R Hegde</t>
  </si>
  <si>
    <t>Direct</t>
  </si>
  <si>
    <t>MIT Manipal TD600 + Ecosystem Purchase</t>
  </si>
  <si>
    <t>PO Received</t>
  </si>
  <si>
    <t>Waiting for confirmation of the order from Purchase Dept.</t>
  </si>
  <si>
    <t>suhas.nayak</t>
  </si>
  <si>
    <t>Upselling</t>
  </si>
  <si>
    <t>3D Printer Hardware;Consumables;Accessories</t>
  </si>
  <si>
    <t>UBDT - J250</t>
  </si>
  <si>
    <t>University BDT College of Engineering (UBDT)</t>
  </si>
  <si>
    <t>Awaiting opening of tender by July last week</t>
  </si>
  <si>
    <t>Basavaraj S</t>
  </si>
  <si>
    <t>Twin Dragon: Jigs &amp; Fixtures Division</t>
  </si>
  <si>
    <t>Twin Dragon</t>
  </si>
  <si>
    <t>TATA ELECTRONICS PRIVATE LIMITED</t>
  </si>
  <si>
    <t>14th July purchase department will confirm on Trials and PO date</t>
  </si>
  <si>
    <t>Santosh S.</t>
  </si>
  <si>
    <t>Vijay</t>
  </si>
  <si>
    <t>3D Printer Hardware</t>
  </si>
  <si>
    <t>Soen Audio</t>
  </si>
  <si>
    <t>Demo / Samples Done</t>
  </si>
  <si>
    <t>Send Sampling</t>
  </si>
  <si>
    <t>Hari Seedhar</t>
  </si>
  <si>
    <t>Pannaga - D 500</t>
  </si>
  <si>
    <t>Pannaga NextechÂ PvtÂ Ltd</t>
  </si>
  <si>
    <t>Re-Evaluate</t>
  </si>
  <si>
    <t>Sarala R.</t>
  </si>
  <si>
    <t>TD 600</t>
  </si>
  <si>
    <t>Accurel India Pvt Ltd</t>
  </si>
  <si>
    <t>In person demo @ factory send PETg Part</t>
  </si>
  <si>
    <t>Dhanush Accurel</t>
  </si>
  <si>
    <t>IIIT Kurnool Dragon 700</t>
  </si>
  <si>
    <t>IIIT Kurnool</t>
  </si>
  <si>
    <t>GEM has to be set up with proper golden parameters so that we are L1</t>
  </si>
  <si>
    <t>Channel Partner</t>
  </si>
  <si>
    <t>Yogendra Srivastava</t>
  </si>
  <si>
    <t>Manipal Bangalore 3D Printer</t>
  </si>
  <si>
    <t>MAHE Bengaluru</t>
  </si>
  <si>
    <t>Proposal / Quote Sent</t>
  </si>
  <si>
    <t>Follow up today on Aug 4th</t>
  </si>
  <si>
    <t>Sravani .</t>
  </si>
  <si>
    <t>Vijay Raghav Varada</t>
  </si>
  <si>
    <t>Honda MotorCycle and Scooters India Pvt Ltd</t>
  </si>
  <si>
    <t>Awaiting PO</t>
  </si>
  <si>
    <t>Event</t>
  </si>
  <si>
    <t>Rajath Juneja</t>
  </si>
  <si>
    <t>3D Printer Hardware;Consulting;Training/Onboarding;Accessories</t>
  </si>
  <si>
    <t>CMTI Paste Extruder</t>
  </si>
  <si>
    <t>CMTI (Central Manufacturing Technology Institute)</t>
  </si>
  <si>
    <t>Delivered &amp; Installed</t>
  </si>
  <si>
    <t>Follow-up on next steps</t>
  </si>
  <si>
    <t>Manju BN</t>
  </si>
  <si>
    <t>Custom 3D Printer;Consulting</t>
  </si>
  <si>
    <t>Kalasalingam University TD 300</t>
  </si>
  <si>
    <t>Kalasalingam University</t>
  </si>
  <si>
    <t>Venkat Global</t>
  </si>
  <si>
    <t>CMTI - Food 3d Printer</t>
  </si>
  <si>
    <t>Other 3D Printer</t>
  </si>
  <si>
    <t>Pradyumma cmti</t>
  </si>
  <si>
    <t>uno minda - kamal</t>
  </si>
  <si>
    <t>Closed Lost</t>
  </si>
  <si>
    <t>need to push him for the same</t>
  </si>
  <si>
    <t>kamal uno</t>
  </si>
  <si>
    <t>infinite traders - TD 600</t>
  </si>
  <si>
    <t>infinite Traders</t>
  </si>
  <si>
    <t>Raj Kiran</t>
  </si>
  <si>
    <t>LAT Aerosapce</t>
  </si>
  <si>
    <t>Dragon</t>
  </si>
  <si>
    <t>Yaswanth Namburi</t>
  </si>
  <si>
    <t>Beoing fdm</t>
  </si>
  <si>
    <t>Beoing</t>
  </si>
  <si>
    <t>Shamik beoing</t>
  </si>
  <si>
    <t>iisc fsid</t>
  </si>
  <si>
    <t>IISc - SID</t>
  </si>
  <si>
    <t>machine not fixed</t>
  </si>
  <si>
    <t>Raj Waghray</t>
  </si>
  <si>
    <t>AKSI AI AEROSPACE AND AGRI TECHNOLOGY VENTURES PVT LTD</t>
  </si>
  <si>
    <t>Jayant Pampana</t>
  </si>
  <si>
    <t>Wonder Electricals Ltd</t>
  </si>
  <si>
    <t>yogesh sahni</t>
  </si>
  <si>
    <t>Vikas</t>
  </si>
  <si>
    <t>Chat</t>
  </si>
  <si>
    <t>Farooq Ahmed</t>
  </si>
  <si>
    <t>Manju Kriplani</t>
  </si>
  <si>
    <t>Jobwork</t>
  </si>
  <si>
    <t>manipal Manipal Academy of Higher Education</t>
  </si>
  <si>
    <t>Manipal Academy of Higher Education (MAHE)</t>
  </si>
  <si>
    <t>Need amended PO as shipping charges need to include.</t>
  </si>
  <si>
    <t>Consumables</t>
  </si>
  <si>
    <t>Impa HL</t>
  </si>
  <si>
    <t>Fracktory</t>
  </si>
  <si>
    <t>Sachin Biradar</t>
  </si>
  <si>
    <t>Payment Complete</t>
  </si>
  <si>
    <t>Involine Technologies</t>
  </si>
  <si>
    <t>Ravi</t>
  </si>
  <si>
    <t>ravi .</t>
  </si>
  <si>
    <t>TVS Motor Company</t>
  </si>
  <si>
    <t>SIDDHARTH MODEL SPORTS PRIVATE LIMITED</t>
  </si>
  <si>
    <t>Need follow up</t>
  </si>
  <si>
    <t>Gaurang</t>
  </si>
  <si>
    <t>ADIANCE TECHNOLOGIES PRIVATE LIMITED</t>
  </si>
  <si>
    <t>Q3</t>
  </si>
  <si>
    <t>Multi Material DLP Printer Software</t>
  </si>
  <si>
    <t>CMET (Center for Materials for Electronics Technology)</t>
  </si>
  <si>
    <t>Followup on tender release</t>
  </si>
  <si>
    <t>Partner</t>
  </si>
  <si>
    <t>Shany Joseph CMET</t>
  </si>
  <si>
    <t>Sanjay Narayan</t>
  </si>
  <si>
    <t>Kishore TD500</t>
  </si>
  <si>
    <t>Kishore</t>
  </si>
  <si>
    <t>Kishore T</t>
  </si>
  <si>
    <t>Imtex Lead</t>
  </si>
  <si>
    <t>Amace 3D</t>
  </si>
  <si>
    <t>shirish shrish</t>
  </si>
  <si>
    <t>SF x 10 - TechLabs</t>
  </si>
  <si>
    <t>Techlab</t>
  </si>
  <si>
    <t>Have to call on Monday Price negotiation stage looking for the pricing within 40k including gst.</t>
  </si>
  <si>
    <t>Shekar S</t>
  </si>
  <si>
    <t>Efy Event</t>
  </si>
  <si>
    <t>IIT Thirupathi TD 600</t>
  </si>
  <si>
    <t>IIT Trichy</t>
  </si>
  <si>
    <t>Follow Up with OMO with update</t>
  </si>
  <si>
    <t>NIT Roukela</t>
  </si>
  <si>
    <t>Meeting with department head to be scheduled</t>
  </si>
  <si>
    <t>TANMOY Adikary</t>
  </si>
  <si>
    <t>NIPER</t>
  </si>
  <si>
    <t>Discovery Meeting Done</t>
  </si>
  <si>
    <t>Dr Sundeep Chaurasia</t>
  </si>
  <si>
    <t>Arrow Optronics</t>
  </si>
  <si>
    <t>Dinesh</t>
  </si>
  <si>
    <t>GEM - julia 250 i</t>
  </si>
  <si>
    <t>ministry of development</t>
  </si>
  <si>
    <t>GEM MARKET PLACE</t>
  </si>
  <si>
    <t>Q4</t>
  </si>
  <si>
    <t>515 Army Field Workshop Tender</t>
  </si>
  <si>
    <t>Vishwas Puttige</t>
  </si>
  <si>
    <t>3D Printer Hardware;Consumables;AMC;Training/Onboarding;Accessories</t>
  </si>
  <si>
    <t>Indian army -prayagraj Dragon 500 or 400</t>
  </si>
  <si>
    <t>Indian Army Prayagaraj</t>
  </si>
  <si>
    <t>lt conal rejil</t>
  </si>
  <si>
    <t>A</t>
  </si>
  <si>
    <t>Cash Position</t>
  </si>
  <si>
    <t>B</t>
  </si>
  <si>
    <t>FC</t>
  </si>
  <si>
    <t>Min</t>
  </si>
  <si>
    <t>Months</t>
  </si>
  <si>
    <t>Run rate with existing</t>
  </si>
  <si>
    <t>Operating</t>
  </si>
  <si>
    <t xml:space="preserve">Sustaining </t>
  </si>
  <si>
    <t>Break Even</t>
  </si>
  <si>
    <t>Sales</t>
  </si>
  <si>
    <t>C</t>
  </si>
  <si>
    <t>Balance Sheet</t>
  </si>
  <si>
    <t>1-Apr-25 to 31-Jan-25</t>
  </si>
  <si>
    <t>LIABILITIES</t>
  </si>
  <si>
    <t>Q1 - Apr-Jun</t>
  </si>
  <si>
    <t>Q2 - Jul-Sept</t>
  </si>
  <si>
    <t>Q3 - Oct-Dec</t>
  </si>
  <si>
    <t>Subtotal (Rs.)</t>
  </si>
  <si>
    <t>Total (Rs.)</t>
  </si>
  <si>
    <t>Capital Account</t>
  </si>
  <si>
    <t>Reserves &amp; Surplus</t>
  </si>
  <si>
    <t>Partners Capital</t>
  </si>
  <si>
    <t>Loans (Liability)</t>
  </si>
  <si>
    <t>Partner's Loan-Akshatha</t>
  </si>
  <si>
    <t>Partner's Loan-Tejas</t>
  </si>
  <si>
    <t>TVS Credit Services Ltd</t>
  </si>
  <si>
    <t>Current Liabilities</t>
  </si>
  <si>
    <t>Duties &amp; Taxes</t>
  </si>
  <si>
    <t>Provisions</t>
  </si>
  <si>
    <t>Sundry Creditors</t>
  </si>
  <si>
    <t>Reimbursments Payable</t>
  </si>
  <si>
    <t>Salaries Payable</t>
  </si>
  <si>
    <t>Current Period (As per th Books)</t>
  </si>
  <si>
    <t>ASSETS</t>
  </si>
  <si>
    <t>Fixed Assets</t>
  </si>
  <si>
    <t>Intangible Assets</t>
  </si>
  <si>
    <t>Tangible Assets</t>
  </si>
  <si>
    <t>Current Assets</t>
  </si>
  <si>
    <t>Closing Stock</t>
  </si>
  <si>
    <t>Deposits (Asset)</t>
  </si>
  <si>
    <t>Loans &amp; Advances (Asset)</t>
  </si>
  <si>
    <t>Sundry Debtors</t>
  </si>
  <si>
    <t>Cash-in-Hand</t>
  </si>
  <si>
    <t>Bank Accounts</t>
  </si>
  <si>
    <t>Deferred Expenses</t>
  </si>
  <si>
    <t>Deferred Tax Asset</t>
  </si>
  <si>
    <t>TDS - Receivable</t>
  </si>
  <si>
    <t>Excess Profit not shown in the books</t>
  </si>
  <si>
    <t>Cash Flow Summary</t>
  </si>
  <si>
    <t>Bank/Cash Opening Balance</t>
  </si>
  <si>
    <t>Inflow of Cash :</t>
  </si>
  <si>
    <t>Rates and Taxes</t>
  </si>
  <si>
    <t>Outflow of Cash :</t>
  </si>
  <si>
    <t>Unsecured Loans</t>
  </si>
  <si>
    <t>Employee Advances</t>
  </si>
  <si>
    <t>Reimburements</t>
  </si>
  <si>
    <t>Salary Payable</t>
  </si>
  <si>
    <t>Purchase Accounts</t>
  </si>
  <si>
    <t>Transportation Expenses</t>
  </si>
  <si>
    <t>Administrative Overheads</t>
  </si>
  <si>
    <t>Employer PT</t>
  </si>
  <si>
    <t>Round Off</t>
  </si>
  <si>
    <t>Closing Balance</t>
  </si>
  <si>
    <t>Nett Inflow</t>
  </si>
  <si>
    <t>PARTICULARS</t>
  </si>
  <si>
    <t>Previous Financial Period</t>
  </si>
  <si>
    <t>Prior Period</t>
  </si>
  <si>
    <t>Increase (Decrease)</t>
  </si>
  <si>
    <t>Current Financial Period</t>
  </si>
  <si>
    <t>29.08.2024 - 31.03.2025</t>
  </si>
  <si>
    <t>01.04.2023 to 31.10.2023</t>
  </si>
  <si>
    <t>01.04.2025 - 30.09.2025</t>
  </si>
  <si>
    <t>BEGINNING CASH ON HAND</t>
  </si>
  <si>
    <t>Bank Balance</t>
  </si>
  <si>
    <t>Cash Balance</t>
  </si>
  <si>
    <t>Bank OverDraft</t>
  </si>
  <si>
    <t>ADD: CASH RECEIPTS</t>
  </si>
  <si>
    <t>Investment from MEMG</t>
  </si>
  <si>
    <t>Collections from Sales</t>
  </si>
  <si>
    <t>Fixed Deposit</t>
  </si>
  <si>
    <t>Karnataka Elevate Grant</t>
  </si>
  <si>
    <t>Misc. Cash Receipts / Refunds</t>
  </si>
  <si>
    <t>TOTAL CASH RECEIPTS</t>
  </si>
  <si>
    <t>LESS: CASH PAYMENTS</t>
  </si>
  <si>
    <t>COST OF GOODS SOLD:</t>
  </si>
  <si>
    <t>Direct Product/Service Costs</t>
  </si>
  <si>
    <t>Customs &amp; Freight Inward</t>
  </si>
  <si>
    <t>Other Costs</t>
  </si>
  <si>
    <t>Sub-Total Cost of Goods Sold</t>
  </si>
  <si>
    <t>OPERATING EXPENSES:</t>
  </si>
  <si>
    <t>Advertising and Marketing</t>
  </si>
  <si>
    <t>Office &amp; Admin Expenses</t>
  </si>
  <si>
    <t>Feight Outward</t>
  </si>
  <si>
    <t>Miscellaneous Expense</t>
  </si>
  <si>
    <t>Professional Services - Legal Accounting</t>
  </si>
  <si>
    <t>Office Rent</t>
  </si>
  <si>
    <t>Travel</t>
  </si>
  <si>
    <t>Sub-Total Operating Expenses</t>
  </si>
  <si>
    <t>OTHER PAYMENTS :</t>
  </si>
  <si>
    <t>Society of Innnovation and Development (SLS)</t>
  </si>
  <si>
    <t>Interest Expense</t>
  </si>
  <si>
    <t>Income Tax Expense</t>
  </si>
  <si>
    <t>Loan Repayments</t>
  </si>
  <si>
    <t>Deposits</t>
  </si>
  <si>
    <t>SID Advances (Refundable)</t>
  </si>
  <si>
    <t>Purchase of Fixed Assets</t>
  </si>
  <si>
    <t>Employee / Other Advances</t>
  </si>
  <si>
    <t>Sub-Total Other Expense Payments</t>
  </si>
  <si>
    <t>TOTAL CASH PAYMENTS</t>
  </si>
  <si>
    <t>NET CASH CHANGE - Inflow (Outflow)</t>
  </si>
  <si>
    <t>CASH POSITION (31.03.2025)</t>
  </si>
  <si>
    <t>Bank OverDraft (ICICI)</t>
  </si>
  <si>
    <t>Bank OverDraft (BAJAJ)</t>
  </si>
  <si>
    <t>CASH LIQUIDITY</t>
  </si>
  <si>
    <t>As per Books</t>
  </si>
  <si>
    <t xml:space="preserve"> -   </t>
  </si>
  <si>
    <t>Diff.</t>
  </si>
  <si>
    <t>COGS+Operating Expenses</t>
  </si>
  <si>
    <t>Other Payments</t>
  </si>
  <si>
    <t>Cash Received from Operations</t>
  </si>
  <si>
    <t>Cash Burn</t>
  </si>
  <si>
    <t>SID Payments</t>
  </si>
  <si>
    <t>Operating Expenses</t>
  </si>
  <si>
    <t>Cash Available</t>
  </si>
  <si>
    <t>Overdraft</t>
  </si>
  <si>
    <t>Refundable Advance</t>
  </si>
  <si>
    <t>Outflows</t>
  </si>
  <si>
    <t>Fixed Costs</t>
  </si>
  <si>
    <t>Thota Payroll Cost</t>
  </si>
  <si>
    <t>SR. No.</t>
  </si>
  <si>
    <t>Dept</t>
  </si>
  <si>
    <t>Emp Name</t>
  </si>
  <si>
    <t>Remarks</t>
  </si>
  <si>
    <t>CTC</t>
  </si>
  <si>
    <t>Krupa</t>
  </si>
  <si>
    <t>Sanjay</t>
  </si>
  <si>
    <t>Niveditha</t>
  </si>
  <si>
    <t>Harish</t>
  </si>
  <si>
    <t>Babu</t>
  </si>
  <si>
    <t>Rajeshwari</t>
  </si>
  <si>
    <t>Rahul Ruben</t>
  </si>
  <si>
    <t>Padum</t>
  </si>
  <si>
    <t>Sagar</t>
  </si>
  <si>
    <t>Nisha</t>
  </si>
  <si>
    <t>Nanda</t>
  </si>
  <si>
    <t>Raju Johan</t>
  </si>
  <si>
    <t>Rahul Digar</t>
  </si>
  <si>
    <t>Rajib</t>
  </si>
  <si>
    <t>Vicky Nath</t>
  </si>
  <si>
    <t>Raja Das</t>
  </si>
  <si>
    <t>Anusha</t>
  </si>
  <si>
    <t>PARTNER REMUNERATION</t>
  </si>
  <si>
    <t>Designated partner</t>
  </si>
  <si>
    <t>Akshatha R</t>
  </si>
  <si>
    <t>akshatha@thotahospitality.com Please fill this</t>
  </si>
  <si>
    <t>Asha R</t>
  </si>
  <si>
    <t>Tejas R</t>
  </si>
  <si>
    <t>INTERNS</t>
  </si>
  <si>
    <t>Digital marketing/Design</t>
  </si>
  <si>
    <t>EXTERNAL CONSULTANTS:</t>
  </si>
  <si>
    <t>Accounting</t>
  </si>
  <si>
    <t>Suresh Nagaraj</t>
  </si>
  <si>
    <t>Totat HR Cost</t>
  </si>
  <si>
    <t>RENT</t>
  </si>
  <si>
    <t>Electricity</t>
  </si>
  <si>
    <t>Finance cost</t>
  </si>
  <si>
    <t>Total Fixed Cost / month</t>
  </si>
  <si>
    <t>Total Fixed Cost / Year</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</si>
</sst>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_ * #,##0_ ;_ * \-#,##0_ ;_ * &quot;-&quot;??_ ;_ @_ "/>
    <numFmt numFmtId="165" formatCode="&quot;₹&quot;\ #,##0"/>
    <numFmt numFmtId="166" formatCode="&quot;₹&quot;\ #,##0;[Red]&quot;₹&quot;\ \-#,##0"/>
    <numFmt numFmtId="167" formatCode="[$₹]#,##0"/>
    <numFmt numFmtId="168" formatCode="D/M/YYYY"/>
    <numFmt numFmtId="169" formatCode="yyyy\-mm\-dd"/>
    <numFmt numFmtId="170" formatCode="_ * #,##0.00_ ;_ * \-#,##0.00_ ;_ * &quot;-&quot;??_ ;_ @_ "/>
    <numFmt numFmtId="171" formatCode="mmmm-d"/>
    <numFmt numFmtId="172" formatCode="&quot;₹&quot;\ #,##0.00"/>
    <numFmt numFmtId="173" formatCode="_(* #,##0_);_(* \(#,##0\);_(* &quot;-&quot;??_);_(@_)"/>
    <numFmt numFmtId="174" formatCode="_ &quot;₹&quot;\ * #,##0.00_ ;_ &quot;₹&quot;\ * \-#,##0.00_ ;_ &quot;₹&quot;\ * &quot;-&quot;??_ ;_ @_ "/>
  </numFmts>
  <fonts count="59">
    <font>
      <sz val="11.0"/>
      <color theme="1"/>
      <name val="Cambria"/>
      <scheme val="minor"/>
    </font>
    <font>
      <sz val="11.0"/>
      <color rgb="FF000000"/>
      <name val="Aptos Narrow"/>
    </font>
    <font>
      <b/>
      <sz val="22.0"/>
      <color rgb="FF000000"/>
      <name val="Aptos Narrow"/>
    </font>
    <font/>
    <font>
      <sz val="18.0"/>
      <color rgb="FF000000"/>
      <name val="Aptos Narrow"/>
    </font>
    <font>
      <sz val="11.0"/>
      <color theme="1"/>
      <name val="Cambria"/>
    </font>
    <font>
      <b/>
      <sz val="11.0"/>
      <color rgb="FF000000"/>
      <name val="Aptos Narrow"/>
    </font>
    <font>
      <sz val="11.0"/>
      <color rgb="FF000000"/>
      <name val="Arial"/>
    </font>
    <font>
      <color theme="1"/>
      <name val="Cambria"/>
      <scheme val="minor"/>
    </font>
    <font>
      <b/>
      <sz val="12.0"/>
      <color rgb="FF501549"/>
      <name val="Arial"/>
    </font>
    <font>
      <b/>
      <sz val="11.0"/>
      <color rgb="FFFFFFFF"/>
      <name val="Aptos Narrow"/>
    </font>
    <font>
      <b/>
      <sz val="11.0"/>
      <color rgb="FF000000"/>
      <name val="Arial"/>
    </font>
    <font>
      <b/>
      <color theme="1"/>
      <name val="Cambria"/>
      <scheme val="minor"/>
    </font>
    <font>
      <b/>
      <i/>
      <sz val="11.0"/>
      <color theme="1"/>
      <name val="Aptos Narrow"/>
    </font>
    <font>
      <b/>
      <sz val="11.0"/>
      <color theme="1"/>
      <name val="Aptos Narrow"/>
    </font>
    <font>
      <b/>
      <sz val="11.0"/>
      <color theme="1"/>
      <name val="Cambria"/>
    </font>
    <font>
      <b/>
      <sz val="11.0"/>
      <color theme="1"/>
      <name val="Arial"/>
    </font>
    <font>
      <b/>
      <sz val="12.0"/>
      <color theme="1"/>
      <name val="Arial"/>
    </font>
    <font>
      <b/>
      <sz val="9.0"/>
      <color theme="1"/>
      <name val="Arial"/>
    </font>
    <font>
      <sz val="9.0"/>
      <color theme="1"/>
      <name val="Arial"/>
    </font>
    <font>
      <i/>
      <sz val="9.0"/>
      <color theme="1"/>
      <name val="Arial"/>
    </font>
    <font>
      <b/>
      <u/>
      <sz val="11.0"/>
      <color theme="1"/>
      <name val="Arial"/>
    </font>
    <font>
      <b/>
      <i/>
      <sz val="9.0"/>
      <color theme="1"/>
      <name val="Arial"/>
    </font>
    <font>
      <b/>
      <u/>
      <sz val="11.0"/>
      <color theme="1"/>
      <name val="Aptos Narrow"/>
    </font>
    <font>
      <sz val="11.0"/>
      <color theme="1"/>
      <name val="Aptos Narrow"/>
    </font>
    <font>
      <color rgb="FFFF0000"/>
      <name val="Cambria"/>
      <scheme val="minor"/>
    </font>
    <font>
      <i/>
      <sz val="9.0"/>
      <color rgb="FF000000"/>
      <name val="Arial"/>
    </font>
    <font>
      <b/>
      <sz val="24.0"/>
      <color theme="1"/>
      <name val="Cambria"/>
    </font>
    <font>
      <sz val="20.0"/>
      <color theme="1"/>
      <name val="Cambria"/>
    </font>
    <font>
      <sz val="10.0"/>
      <color theme="1"/>
      <name val="Cambria"/>
    </font>
    <font>
      <b/>
      <sz val="10.0"/>
      <color theme="1"/>
      <name val="Cambria"/>
    </font>
    <font>
      <b/>
      <sz val="10.0"/>
      <color rgb="FF000000"/>
      <name val="Arial"/>
    </font>
    <font>
      <sz val="10.0"/>
      <color rgb="FF000000"/>
      <name val="Times New Roman"/>
    </font>
    <font>
      <sz val="12.0"/>
      <color theme="1"/>
      <name val="Cambria"/>
    </font>
    <font>
      <b/>
      <sz val="12.0"/>
      <color rgb="FF000000"/>
      <name val="Arial"/>
    </font>
    <font>
      <b/>
      <sz val="12.0"/>
      <color theme="1"/>
      <name val="Cambria"/>
    </font>
    <font>
      <sz val="11.0"/>
      <color rgb="FF000000"/>
      <name val="Times New Roman"/>
    </font>
    <font>
      <b/>
      <sz val="10.0"/>
      <color rgb="FF000000"/>
      <name val="Times New Roman"/>
    </font>
    <font>
      <sz val="10.0"/>
      <color rgb="FF000000"/>
      <name val="Arial"/>
    </font>
    <font>
      <b/>
      <sz val="11.0"/>
      <color theme="0"/>
      <name val="Aptos Narrow"/>
    </font>
    <font>
      <sz val="11.0"/>
      <color rgb="FF000000"/>
      <name val="Calibri"/>
    </font>
    <font>
      <b/>
      <sz val="12.0"/>
      <color rgb="FF000000"/>
      <name val="Times New Roman"/>
    </font>
    <font>
      <b/>
      <sz val="9.0"/>
      <color rgb="FF000000"/>
      <name val="Arial"/>
    </font>
    <font>
      <sz val="9.0"/>
      <color rgb="FF000000"/>
      <name val="Arial"/>
    </font>
    <font>
      <b/>
      <i/>
      <sz val="9.0"/>
      <color rgb="FF000000"/>
      <name val="Arial"/>
    </font>
    <font>
      <b/>
      <color rgb="FFFF00FF"/>
      <name val="Cambria"/>
      <scheme val="minor"/>
    </font>
    <font>
      <color rgb="FFFF00FF"/>
      <name val="Cambria"/>
      <scheme val="minor"/>
    </font>
    <font>
      <color rgb="FF000000"/>
      <name val="Arial"/>
    </font>
    <font>
      <b/>
      <sz val="12.0"/>
      <color rgb="FF000000"/>
      <name val="&quot;Times New Roman&quot;"/>
    </font>
    <font>
      <b/>
      <color rgb="FF000000"/>
      <name val="Arial"/>
    </font>
    <font>
      <u/>
      <sz val="11.0"/>
      <color theme="1"/>
      <name val="Aptos Narrow"/>
    </font>
    <font>
      <u/>
      <sz val="11.0"/>
      <color theme="1"/>
      <name val="Aptos Narrow"/>
    </font>
    <font>
      <u/>
      <sz val="11.0"/>
      <color rgb="FF000000"/>
      <name val="Aptos Narrow"/>
    </font>
    <font>
      <b/>
      <sz val="11.0"/>
      <color rgb="FF0070C0"/>
      <name val="Aptos Narrow"/>
    </font>
    <font>
      <b/>
      <u/>
      <sz val="10.0"/>
      <color theme="1"/>
      <name val="Cambria"/>
    </font>
    <font>
      <sz val="10.0"/>
      <color theme="1"/>
      <name val="Times New Roman"/>
    </font>
    <font>
      <b/>
      <sz val="9.0"/>
      <color theme="1"/>
      <name val="Times New Roman"/>
    </font>
    <font>
      <u/>
      <sz val="11.0"/>
      <color theme="1"/>
      <name val="Cambria"/>
    </font>
    <font>
      <sz val="11.0"/>
      <color theme="1"/>
      <name val="Times New Roman"/>
    </font>
  </fonts>
  <fills count="39">
    <fill>
      <patternFill patternType="none"/>
    </fill>
    <fill>
      <patternFill patternType="lightGray"/>
    </fill>
    <fill>
      <patternFill patternType="solid">
        <fgColor rgb="FFC0E6F5"/>
        <bgColor rgb="FFC0E6F5"/>
      </patternFill>
    </fill>
    <fill>
      <patternFill patternType="solid">
        <fgColor rgb="FFDAF2D0"/>
        <bgColor rgb="FFDAF2D0"/>
      </patternFill>
    </fill>
    <fill>
      <patternFill patternType="solid">
        <fgColor rgb="FFF1CEEE"/>
        <bgColor rgb="FFF1CEEE"/>
      </patternFill>
    </fill>
    <fill>
      <patternFill patternType="solid">
        <fgColor rgb="FFCAEDFB"/>
        <bgColor rgb="FFCAEDFB"/>
      </patternFill>
    </fill>
    <fill>
      <patternFill patternType="solid">
        <fgColor rgb="FFFFC000"/>
        <bgColor rgb="FFFFC000"/>
      </patternFill>
    </fill>
    <fill>
      <patternFill patternType="solid">
        <fgColor rgb="FFD8D8D8"/>
        <bgColor rgb="FFD8D8D8"/>
      </patternFill>
    </fill>
    <fill>
      <patternFill patternType="solid">
        <fgColor theme="5"/>
        <bgColor theme="5"/>
      </patternFill>
    </fill>
    <fill>
      <patternFill patternType="solid">
        <fgColor rgb="FF00B050"/>
        <bgColor rgb="FF00B050"/>
      </patternFill>
    </fill>
    <fill>
      <patternFill patternType="solid">
        <fgColor rgb="FF00B0F0"/>
        <bgColor rgb="FF00B0F0"/>
      </patternFill>
    </fill>
    <fill>
      <patternFill patternType="solid">
        <fgColor theme="8"/>
        <bgColor theme="8"/>
      </patternFill>
    </fill>
    <fill>
      <patternFill patternType="solid">
        <fgColor rgb="FFFFF2CC"/>
        <bgColor rgb="FFFFF2CC"/>
      </patternFill>
    </fill>
    <fill>
      <patternFill patternType="solid">
        <fgColor rgb="FF71A9E0"/>
        <bgColor rgb="FF71A9E0"/>
      </patternFill>
    </fill>
    <fill>
      <patternFill patternType="solid">
        <fgColor rgb="FFE49EDD"/>
        <bgColor rgb="FFE49EDD"/>
      </patternFill>
    </fill>
    <fill>
      <patternFill patternType="solid">
        <fgColor rgb="FFF6C6AC"/>
        <bgColor rgb="FFF6C6AC"/>
      </patternFill>
    </fill>
    <fill>
      <patternFill patternType="solid">
        <fgColor rgb="FF84E291"/>
        <bgColor rgb="FF84E291"/>
      </patternFill>
    </fill>
    <fill>
      <patternFill patternType="solid">
        <fgColor rgb="FFFFE599"/>
        <bgColor rgb="FFFFE599"/>
      </patternFill>
    </fill>
    <fill>
      <patternFill patternType="solid">
        <fgColor theme="0"/>
        <bgColor theme="0"/>
      </patternFill>
    </fill>
    <fill>
      <patternFill patternType="solid">
        <fgColor rgb="FF95DCF7"/>
        <bgColor rgb="FF95DCF7"/>
      </patternFill>
    </fill>
    <fill>
      <patternFill patternType="solid">
        <fgColor rgb="FFDBE9F7"/>
        <bgColor rgb="FFDBE9F7"/>
      </patternFill>
    </fill>
    <fill>
      <patternFill patternType="solid">
        <fgColor rgb="FFD0D0D0"/>
        <bgColor rgb="FFD0D0D0"/>
      </patternFill>
    </fill>
    <fill>
      <patternFill patternType="solid">
        <fgColor rgb="FFD9F2D0"/>
        <bgColor rgb="FFD9F2D0"/>
      </patternFill>
    </fill>
    <fill>
      <patternFill patternType="solid">
        <fgColor rgb="FF92D050"/>
        <bgColor rgb="FF92D050"/>
      </patternFill>
    </fill>
    <fill>
      <patternFill patternType="solid">
        <fgColor theme="1"/>
        <bgColor theme="1"/>
      </patternFill>
    </fill>
    <fill>
      <patternFill patternType="solid">
        <fgColor rgb="FFE9ECEF"/>
        <bgColor rgb="FFE9ECEF"/>
      </patternFill>
    </fill>
    <fill>
      <patternFill patternType="solid">
        <fgColor rgb="FF8ED873"/>
        <bgColor rgb="FF8ED873"/>
      </patternFill>
    </fill>
    <fill>
      <patternFill patternType="solid">
        <fgColor rgb="FF60CBF3"/>
        <bgColor rgb="FF60CBF3"/>
      </patternFill>
    </fill>
    <fill>
      <patternFill patternType="solid">
        <fgColor rgb="FFD76DCC"/>
        <bgColor rgb="FFD76DCC"/>
      </patternFill>
    </fill>
    <fill>
      <patternFill patternType="solid">
        <fgColor rgb="FFFFFF00"/>
        <bgColor rgb="FFFFFF00"/>
      </patternFill>
    </fill>
    <fill>
      <patternFill patternType="solid">
        <fgColor rgb="FFAEAEAE"/>
        <bgColor rgb="FFAEAEAE"/>
      </patternFill>
    </fill>
    <fill>
      <patternFill patternType="solid">
        <fgColor rgb="FFF2F2F2"/>
        <bgColor rgb="FFF2F2F2"/>
      </patternFill>
    </fill>
    <fill>
      <patternFill patternType="solid">
        <fgColor rgb="FF93C47D"/>
        <bgColor rgb="FF93C47D"/>
      </patternFill>
    </fill>
    <fill>
      <patternFill patternType="solid">
        <fgColor rgb="FFC9C9C9"/>
        <bgColor rgb="FFC9C9C9"/>
      </patternFill>
    </fill>
    <fill>
      <patternFill patternType="solid">
        <fgColor rgb="FFC6E0B4"/>
        <bgColor rgb="FFC6E0B4"/>
      </patternFill>
    </fill>
    <fill>
      <patternFill patternType="solid">
        <fgColor rgb="FFC1F0C8"/>
        <bgColor rgb="FFC1F0C8"/>
      </patternFill>
    </fill>
    <fill>
      <patternFill patternType="solid">
        <fgColor rgb="FFEDEDED"/>
        <bgColor rgb="FFEDEDED"/>
      </patternFill>
    </fill>
    <fill>
      <patternFill patternType="solid">
        <fgColor rgb="FFB3E5A1"/>
        <bgColor rgb="FFB3E5A1"/>
      </patternFill>
    </fill>
    <fill>
      <patternFill patternType="solid">
        <fgColor rgb="FFFFE699"/>
        <bgColor rgb="FFFFE699"/>
      </patternFill>
    </fill>
  </fills>
  <borders count="12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top/>
      <bottom/>
    </border>
    <border>
      <left/>
      <top/>
    </border>
    <border>
      <top/>
    </border>
    <border>
      <right/>
      <top/>
    </border>
    <border>
      <left style="thin">
        <color rgb="FFD76DCC"/>
      </left>
      <right style="thin">
        <color rgb="FFD76DCC"/>
      </right>
      <bottom style="thin">
        <color rgb="FFD76DCC"/>
      </bottom>
    </border>
    <border>
      <left style="thin">
        <color rgb="FFD76DCC"/>
      </left>
      <right style="thin">
        <color rgb="FFD76DCC"/>
      </right>
      <top style="thin">
        <color rgb="FFD76DCC"/>
      </top>
      <bottom style="thin">
        <color rgb="FFD76DCC"/>
      </bottom>
    </border>
    <border>
      <left style="thin">
        <color rgb="FF0F4861"/>
      </left>
      <right/>
      <top style="thin">
        <color rgb="FF0F4861"/>
      </top>
      <bottom/>
    </border>
    <border>
      <left style="thin">
        <color rgb="FF000000"/>
      </left>
      <right style="thin">
        <color rgb="FF0F4861"/>
      </right>
      <top style="thin">
        <color rgb="FF0F4861"/>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F4861"/>
      </left>
      <top style="thin">
        <color rgb="FF000000"/>
      </top>
      <bottom style="thin">
        <color rgb="FF000000"/>
      </bottom>
    </border>
    <border>
      <right style="thin">
        <color rgb="FF0F4861"/>
      </right>
      <top style="thin">
        <color rgb="FF000000"/>
      </top>
      <bottom style="thin">
        <color rgb="FF000000"/>
      </bottom>
    </border>
    <border>
      <left/>
      <right style="thin">
        <color rgb="FF000000"/>
      </right>
      <top style="thin">
        <color rgb="FF000000"/>
      </top>
      <bottom style="thin">
        <color rgb="FF000000"/>
      </bottom>
    </border>
    <border>
      <left style="thin">
        <color rgb="FF0F4861"/>
      </left>
    </border>
    <border>
      <right style="thin">
        <color rgb="FF0F4861"/>
      </right>
    </border>
    <border>
      <right style="thin">
        <color rgb="FF000000"/>
      </right>
    </border>
    <border>
      <left/>
      <right style="thin">
        <color rgb="FF000000"/>
      </right>
      <bottom/>
    </border>
    <border>
      <left/>
      <right style="thin">
        <color rgb="FF000000"/>
      </right>
      <top/>
      <bottom/>
    </border>
    <border>
      <left/>
      <right style="thin">
        <color rgb="FF000000"/>
      </right>
      <top/>
    </border>
    <border>
      <left style="thin">
        <color rgb="FF0F4861"/>
      </left>
      <bottom style="thin">
        <color rgb="FF000000"/>
      </bottom>
    </border>
    <border>
      <right style="thin">
        <color rgb="FF0F4861"/>
      </right>
      <bottom style="thin">
        <color rgb="FF000000"/>
      </bottom>
    </border>
    <border>
      <right style="thin">
        <color rgb="FF000000"/>
      </right>
      <bottom style="thin">
        <color rgb="FF000000"/>
      </bottom>
    </border>
    <border>
      <left/>
      <right style="thin">
        <color rgb="FF000000"/>
      </right>
      <top/>
      <bottom style="thin">
        <color rgb="FF000000"/>
      </bottom>
    </border>
    <border>
      <left style="thin">
        <color rgb="FF0F4861"/>
      </left>
      <top style="thin">
        <color rgb="FF000000"/>
      </top>
      <bottom style="thin">
        <color rgb="FF0F4861"/>
      </bottom>
    </border>
    <border>
      <right style="thin">
        <color rgb="FF0F4861"/>
      </right>
      <top style="thin">
        <color rgb="FF000000"/>
      </top>
      <bottom style="thin">
        <color rgb="FF0F4861"/>
      </bottom>
    </border>
    <border>
      <bottom style="thin">
        <color rgb="FF000000"/>
      </bottom>
    </border>
    <border>
      <left style="thin">
        <color rgb="FF000000"/>
      </left>
      <right/>
      <top style="thin">
        <color rgb="FF000000"/>
      </top>
      <bottom style="thin">
        <color rgb="FF000000"/>
      </bottom>
    </border>
    <border>
      <left style="thin">
        <color rgb="FF000000"/>
      </left>
    </border>
    <border>
      <left style="thin">
        <color rgb="FF000000"/>
      </left>
      <right/>
      <top/>
      <bottom style="thin">
        <color rgb="FF000000"/>
      </bottom>
    </border>
    <border>
      <right style="thin">
        <color rgb="FF000000"/>
      </right>
      <top style="thin">
        <color rgb="FF000000"/>
      </top>
    </border>
    <border>
      <left/>
      <right/>
      <top/>
      <bottom/>
    </border>
    <border>
      <left style="medium">
        <color rgb="FF0F4861"/>
      </left>
      <top style="medium">
        <color rgb="FF0F4861"/>
      </top>
    </border>
    <border>
      <left style="medium">
        <color rgb="FF000000"/>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style="medium">
        <color rgb="FF000000"/>
      </left>
      <right style="medium">
        <color rgb="FF000000"/>
      </right>
      <top style="medium">
        <color rgb="FF000000"/>
      </top>
    </border>
    <border>
      <left style="medium">
        <color rgb="FF0F4861"/>
      </lef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F4861"/>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bottom style="medium">
        <color rgb="FF000000"/>
      </bottom>
    </border>
    <border>
      <left style="medium">
        <color rgb="FF0F4861"/>
      </left>
      <right style="medium">
        <color rgb="FF0F4861"/>
      </right>
      <top/>
      <bottom/>
    </border>
    <border>
      <left style="medium">
        <color rgb="FF0F4861"/>
      </left>
      <right/>
      <top/>
      <bottom style="thin">
        <color rgb="FF000000"/>
      </bottom>
    </border>
    <border>
      <left style="medium">
        <color rgb="FF0F4861"/>
      </left>
      <right style="medium">
        <color rgb="FF0F4861"/>
      </right>
      <top/>
      <bottom style="thin">
        <color rgb="FF000000"/>
      </bottom>
    </border>
    <border>
      <left style="medium">
        <color rgb="FF0F4861"/>
      </left>
      <right style="medium">
        <color rgb="FF0F4861"/>
      </right>
    </border>
    <border>
      <left style="medium">
        <color rgb="FF0F4861"/>
      </left>
    </border>
    <border>
      <left style="thin">
        <color rgb="FF000000"/>
      </left>
      <right style="medium">
        <color rgb="FF0F4861"/>
      </right>
    </border>
    <border>
      <left style="thin">
        <color rgb="FF000000"/>
      </left>
      <top style="thin">
        <color rgb="FF000000"/>
      </top>
    </border>
    <border>
      <left style="thin">
        <color rgb="FF000000"/>
      </left>
      <right style="medium">
        <color rgb="FF0F4861"/>
      </right>
      <top/>
      <bottom style="thin">
        <color rgb="FF000000"/>
      </bottom>
    </border>
    <border>
      <left style="medium">
        <color rgb="FF0F4861"/>
      </left>
      <top style="thin">
        <color rgb="FF000000"/>
      </top>
    </border>
    <border>
      <left style="thin">
        <color rgb="FF000000"/>
      </left>
      <right style="medium">
        <color rgb="FF0F4861"/>
      </right>
      <top style="thin">
        <color rgb="FF000000"/>
      </top>
    </border>
    <border>
      <left style="medium">
        <color rgb="FF0F4861"/>
      </left>
      <right style="medium">
        <color rgb="FF0F4861"/>
      </right>
      <top style="thin">
        <color rgb="FF000000"/>
      </top>
    </border>
    <border>
      <left style="medium">
        <color rgb="FF0F4861"/>
      </left>
      <right/>
      <top/>
      <bottom/>
    </border>
    <border>
      <left style="thin">
        <color rgb="FF000000"/>
      </left>
      <right/>
      <top/>
      <bottom/>
    </border>
    <border>
      <left style="medium">
        <color rgb="FF0F4861"/>
      </left>
      <right style="medium">
        <color rgb="FF0F4861"/>
      </right>
      <top/>
    </border>
    <border>
      <left style="thin">
        <color rgb="FF000000"/>
      </left>
      <right style="medium">
        <color rgb="FF0F4861"/>
      </right>
      <top/>
      <bottom/>
    </border>
    <border>
      <left style="thin">
        <color rgb="FF000000"/>
      </left>
      <top/>
      <bottom/>
    </border>
    <border>
      <left style="medium">
        <color rgb="FF0F4861"/>
      </left>
      <right style="medium">
        <color rgb="FF0F4861"/>
      </right>
      <top style="thin">
        <color rgb="FF000000"/>
      </top>
      <bottom style="medium">
        <color rgb="FF0F4861"/>
      </bottom>
    </border>
    <border>
      <left style="medium">
        <color rgb="FF0F4861"/>
      </left>
      <right/>
      <top style="thin">
        <color rgb="FF000000"/>
      </top>
      <bottom style="medium">
        <color rgb="FF0F4861"/>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rder>
    <border>
      <bottom style="medium">
        <color rgb="FF000000"/>
      </bottom>
    </border>
    <border>
      <left style="thin">
        <color rgb="FF000000"/>
      </left>
      <right style="medium">
        <color rgb="FF000000"/>
      </right>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top style="medium">
        <color rgb="FF000000"/>
      </top>
      <bottom/>
    </border>
    <border>
      <left style="medium">
        <color rgb="FF000000"/>
      </left>
      <bottom style="thin">
        <color rgb="FF000000"/>
      </bottom>
    </border>
    <border>
      <left style="medium">
        <color rgb="FF000000"/>
      </left>
    </border>
    <border>
      <right style="medium">
        <color rgb="FF000000"/>
      </right>
    </border>
    <border>
      <left style="medium">
        <color rgb="FF000000"/>
      </left>
      <right style="medium">
        <color rgb="FF000000"/>
      </right>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thin">
        <color rgb="FF000000"/>
      </top>
    </border>
    <border>
      <left style="medium">
        <color rgb="FF000000"/>
      </left>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bottom/>
    </border>
    <border>
      <top/>
      <bottom/>
    </border>
    <border>
      <left style="thin">
        <color rgb="FF000000"/>
      </left>
      <right style="thin">
        <color rgb="FF000000"/>
      </right>
      <top style="medium">
        <color rgb="FF000000"/>
      </top>
      <bottom style="thin">
        <color rgb="FF000000"/>
      </bottom>
    </border>
    <border>
      <left style="medium">
        <color rgb="FF000000"/>
      </left>
      <right style="thin">
        <color rgb="FF000000"/>
      </right>
    </border>
    <border>
      <left style="medium">
        <color rgb="FF000000"/>
      </left>
      <right style="thin">
        <color rgb="FF000000"/>
      </right>
      <top style="thin">
        <color rgb="FF000000"/>
      </top>
      <bottom/>
    </border>
    <border>
      <left/>
      <right style="medium">
        <color rgb="FF000000"/>
      </right>
      <top style="thin">
        <color rgb="FF000000"/>
      </top>
      <bottom/>
    </border>
    <border>
      <right style="medium">
        <color rgb="FF000000"/>
      </right>
      <top style="thin">
        <color rgb="FF000000"/>
      </top>
      <bottom/>
    </border>
    <border>
      <right style="medium">
        <color rgb="FF000000"/>
      </right>
      <top style="medium">
        <color rgb="FF000000"/>
      </top>
      <bottom style="thin">
        <color rgb="FF000000"/>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top style="thin">
        <color rgb="FF000000"/>
      </top>
    </border>
    <border>
      <left style="thin">
        <color rgb="FF000000"/>
      </left>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bottom/>
    </border>
    <border>
      <left style="medium">
        <color rgb="FF000000"/>
      </left>
      <right style="medium">
        <color rgb="FF000000"/>
      </right>
      <top style="thin">
        <color rgb="FF000000"/>
      </top>
    </border>
    <border>
      <top style="thin">
        <color rgb="FF000000"/>
      </top>
      <bottom style="double">
        <color rgb="FF000000"/>
      </bottom>
    </border>
    <border>
      <left style="thin">
        <color rgb="FF000000"/>
      </left>
      <right style="thin">
        <color rgb="FF000000"/>
      </right>
      <top style="thin">
        <color rgb="FF000000"/>
      </top>
    </border>
    <border>
      <left style="thin">
        <color rgb="FF000000"/>
      </left>
      <right/>
      <top style="thin">
        <color rgb="FF000000"/>
      </top>
    </border>
    <border>
      <left style="thin">
        <color rgb="FF000000"/>
      </left>
      <right style="thin">
        <color rgb="FF000000"/>
      </right>
      <bottom style="thin">
        <color rgb="FF000000"/>
      </bottom>
    </border>
    <border>
      <left style="thin">
        <color rgb="FF000000"/>
      </left>
      <right/>
      <bottom style="thin">
        <color rgb="FF000000"/>
      </bottom>
    </border>
    <border>
      <left style="thin">
        <color rgb="FF000000"/>
      </left>
      <right/>
      <top style="thin">
        <color rgb="FF000000"/>
      </top>
      <bottom/>
    </border>
  </borders>
  <cellStyleXfs count="1">
    <xf borderId="0" fillId="0" fontId="0" numFmtId="0" applyAlignment="1" applyFont="1"/>
  </cellStyleXfs>
  <cellXfs count="56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1" fillId="2" fontId="4" numFmtId="0" xfId="0" applyAlignment="1" applyBorder="1" applyFont="1">
      <alignment horizontal="center"/>
    </xf>
    <xf borderId="0" fillId="0" fontId="5" numFmtId="0" xfId="0" applyAlignment="1" applyFont="1">
      <alignment vertical="center"/>
    </xf>
    <xf borderId="4" fillId="3" fontId="6" numFmtId="0" xfId="0" applyAlignment="1" applyBorder="1" applyFill="1" applyFont="1">
      <alignment horizontal="center" vertical="center"/>
    </xf>
    <xf borderId="1" fillId="3" fontId="6" numFmtId="0" xfId="0" applyAlignment="1" applyBorder="1" applyFont="1">
      <alignment horizontal="center" vertical="center"/>
    </xf>
    <xf borderId="4" fillId="4" fontId="6" numFmtId="0" xfId="0" applyAlignment="1" applyBorder="1" applyFill="1" applyFont="1">
      <alignment vertical="center"/>
    </xf>
    <xf borderId="4" fillId="3" fontId="6" numFmtId="0" xfId="0" applyAlignment="1" applyBorder="1" applyFont="1">
      <alignment horizontal="center" shrinkToFit="0" vertical="center" wrapText="1"/>
    </xf>
    <xf borderId="0" fillId="0" fontId="5" numFmtId="0" xfId="0" applyAlignment="1" applyFont="1">
      <alignment horizontal="center" vertical="center"/>
    </xf>
    <xf borderId="4" fillId="4" fontId="6" numFmtId="0" xfId="0" applyAlignment="1" applyBorder="1" applyFont="1">
      <alignment horizontal="center" vertical="center"/>
    </xf>
    <xf borderId="4" fillId="0" fontId="1" numFmtId="0" xfId="0" applyBorder="1" applyFont="1"/>
    <xf borderId="4" fillId="0" fontId="1" numFmtId="164" xfId="0" applyBorder="1" applyFont="1" applyNumberFormat="1"/>
    <xf borderId="4" fillId="0" fontId="7" numFmtId="164" xfId="0" applyAlignment="1" applyBorder="1" applyFont="1" applyNumberFormat="1">
      <alignment readingOrder="0"/>
    </xf>
    <xf borderId="4" fillId="5" fontId="6" numFmtId="0" xfId="0" applyBorder="1" applyFill="1" applyFont="1"/>
    <xf borderId="4" fillId="5" fontId="6" numFmtId="3" xfId="0" applyBorder="1" applyFont="1" applyNumberFormat="1"/>
    <xf borderId="5" fillId="6" fontId="5" numFmtId="0" xfId="0" applyBorder="1" applyFill="1" applyFont="1"/>
    <xf borderId="0" fillId="0" fontId="8" numFmtId="0" xfId="0" applyFont="1"/>
    <xf borderId="4" fillId="0" fontId="6" numFmtId="0" xfId="0" applyBorder="1" applyFont="1"/>
    <xf borderId="4" fillId="5" fontId="6" numFmtId="9" xfId="0" applyBorder="1" applyFont="1" applyNumberFormat="1"/>
    <xf borderId="6" fillId="7" fontId="9" numFmtId="0" xfId="0" applyAlignment="1" applyBorder="1" applyFill="1" applyFont="1">
      <alignment horizontal="center" readingOrder="0" vertical="center"/>
    </xf>
    <xf borderId="7" fillId="0" fontId="3" numFmtId="0" xfId="0" applyBorder="1" applyFont="1"/>
    <xf borderId="8" fillId="0" fontId="3" numFmtId="0" xfId="0" applyBorder="1" applyFont="1"/>
    <xf borderId="0" fillId="0" fontId="8" numFmtId="0" xfId="0" applyAlignment="1" applyFont="1">
      <alignment horizontal="center"/>
    </xf>
    <xf borderId="4" fillId="7" fontId="6" numFmtId="0" xfId="0" applyAlignment="1" applyBorder="1" applyFont="1">
      <alignment horizontal="center" shrinkToFit="0" vertical="center" wrapText="1"/>
    </xf>
    <xf borderId="4" fillId="8" fontId="10" numFmtId="0" xfId="0" applyAlignment="1" applyBorder="1" applyFill="1" applyFont="1">
      <alignment horizontal="center" shrinkToFit="0" vertical="center" wrapText="1"/>
    </xf>
    <xf borderId="4" fillId="9" fontId="10" numFmtId="0" xfId="0" applyAlignment="1" applyBorder="1" applyFill="1" applyFont="1">
      <alignment horizontal="center" shrinkToFit="0" vertical="center" wrapText="1"/>
    </xf>
    <xf borderId="4" fillId="10" fontId="10" numFmtId="0" xfId="0" applyAlignment="1" applyBorder="1" applyFill="1" applyFont="1">
      <alignment horizontal="center" shrinkToFit="0" vertical="center" wrapText="1"/>
    </xf>
    <xf borderId="4" fillId="11" fontId="10" numFmtId="0" xfId="0" applyAlignment="1" applyBorder="1" applyFill="1" applyFont="1">
      <alignment horizontal="center" shrinkToFit="0" vertical="center" wrapText="1"/>
    </xf>
    <xf borderId="4" fillId="12" fontId="11" numFmtId="0" xfId="0" applyAlignment="1" applyBorder="1" applyFill="1" applyFont="1">
      <alignment horizontal="center" readingOrder="0" shrinkToFit="0" vertical="center" wrapText="1"/>
    </xf>
    <xf borderId="4" fillId="13" fontId="10" numFmtId="0" xfId="0" applyAlignment="1" applyBorder="1" applyFill="1" applyFont="1">
      <alignment horizontal="center" shrinkToFit="0" vertical="center" wrapText="1"/>
    </xf>
    <xf borderId="0" fillId="0" fontId="5" numFmtId="0" xfId="0" applyAlignment="1" applyFont="1">
      <alignment shrinkToFit="0" vertical="center" wrapText="1"/>
    </xf>
    <xf borderId="4" fillId="0" fontId="12" numFmtId="0" xfId="0" applyAlignment="1" applyBorder="1" applyFont="1">
      <alignment horizontal="center" vertical="center"/>
    </xf>
    <xf borderId="4" fillId="0" fontId="5" numFmtId="165" xfId="0" applyAlignment="1" applyBorder="1" applyFont="1" applyNumberFormat="1">
      <alignment readingOrder="0"/>
    </xf>
    <xf borderId="4" fillId="0" fontId="5" numFmtId="165" xfId="0" applyBorder="1" applyFont="1" applyNumberFormat="1"/>
    <xf borderId="4" fillId="14" fontId="13" numFmtId="9" xfId="0" applyAlignment="1" applyBorder="1" applyFill="1" applyFont="1" applyNumberFormat="1">
      <alignment horizontal="center"/>
    </xf>
    <xf borderId="4" fillId="4" fontId="13" numFmtId="9" xfId="0" applyAlignment="1" applyBorder="1" applyFont="1" applyNumberFormat="1">
      <alignment horizontal="center"/>
    </xf>
    <xf borderId="4" fillId="0" fontId="5" numFmtId="166" xfId="0" applyAlignment="1" applyBorder="1" applyFont="1" applyNumberFormat="1">
      <alignment readingOrder="0"/>
    </xf>
    <xf borderId="4" fillId="0" fontId="5" numFmtId="166" xfId="0" applyBorder="1" applyFont="1" applyNumberFormat="1"/>
    <xf borderId="4" fillId="0" fontId="14" numFmtId="0" xfId="0" applyAlignment="1" applyBorder="1" applyFont="1">
      <alignment horizontal="center" vertical="center"/>
    </xf>
    <xf borderId="4" fillId="0" fontId="14" numFmtId="165" xfId="0" applyBorder="1" applyFont="1" applyNumberFormat="1"/>
    <xf borderId="4" fillId="14" fontId="15" numFmtId="9" xfId="0" applyAlignment="1" applyBorder="1" applyFont="1" applyNumberFormat="1">
      <alignment horizontal="center"/>
    </xf>
    <xf borderId="0" fillId="0" fontId="8" numFmtId="0" xfId="0" applyAlignment="1" applyFont="1">
      <alignment horizontal="center" vertical="center"/>
    </xf>
    <xf borderId="0" fillId="0" fontId="12" numFmtId="9" xfId="0" applyFont="1" applyNumberFormat="1"/>
    <xf borderId="0" fillId="0" fontId="16" numFmtId="9" xfId="0" applyAlignment="1" applyFont="1" applyNumberFormat="1">
      <alignment readingOrder="0"/>
    </xf>
    <xf borderId="9" fillId="4" fontId="5" numFmtId="165" xfId="0" applyAlignment="1" applyBorder="1" applyFont="1" applyNumberFormat="1">
      <alignment horizontal="center"/>
    </xf>
    <xf borderId="0" fillId="0" fontId="8" numFmtId="0" xfId="0" applyFont="1"/>
    <xf borderId="0" fillId="0" fontId="14" numFmtId="165" xfId="0" applyFont="1" applyNumberFormat="1"/>
    <xf borderId="10" fillId="14" fontId="5" numFmtId="165" xfId="0" applyAlignment="1" applyBorder="1" applyFont="1" applyNumberFormat="1">
      <alignment horizontal="center"/>
    </xf>
    <xf borderId="0" fillId="0" fontId="8" numFmtId="0" xfId="0" applyAlignment="1" applyFont="1">
      <alignment horizontal="center" vertical="center"/>
    </xf>
    <xf borderId="0" fillId="0" fontId="14" numFmtId="0" xfId="0" applyFont="1"/>
    <xf borderId="0" fillId="0" fontId="17" numFmtId="49" xfId="0" applyAlignment="1" applyFont="1" applyNumberFormat="1">
      <alignment horizontal="center" vertical="center"/>
    </xf>
    <xf borderId="0" fillId="0" fontId="8" numFmtId="0" xfId="0" applyAlignment="1" applyFont="1">
      <alignment vertical="center"/>
    </xf>
    <xf borderId="11" fillId="15" fontId="16" numFmtId="0" xfId="0" applyAlignment="1" applyBorder="1" applyFill="1" applyFont="1">
      <alignment horizontal="center" readingOrder="0" vertical="center"/>
    </xf>
    <xf borderId="12" fillId="15" fontId="18" numFmtId="49" xfId="0" applyAlignment="1" applyBorder="1" applyFont="1" applyNumberFormat="1">
      <alignment horizontal="center" readingOrder="0" shrinkToFit="0" vertical="center" wrapText="1"/>
    </xf>
    <xf borderId="13" fillId="15" fontId="18" numFmtId="49" xfId="0" applyAlignment="1" applyBorder="1" applyFont="1" applyNumberFormat="1">
      <alignment horizontal="center" readingOrder="0" shrinkToFit="0" vertical="center" wrapText="1"/>
    </xf>
    <xf borderId="14" fillId="15" fontId="18" numFmtId="49" xfId="0" applyAlignment="1" applyBorder="1" applyFont="1" applyNumberFormat="1">
      <alignment horizontal="center" readingOrder="0" shrinkToFit="0" vertical="center" wrapText="1"/>
    </xf>
    <xf borderId="4" fillId="15" fontId="18" numFmtId="49" xfId="0" applyAlignment="1" applyBorder="1" applyFont="1" applyNumberFormat="1">
      <alignment horizontal="center" readingOrder="0" shrinkToFit="0" vertical="center" wrapText="1"/>
    </xf>
    <xf borderId="13" fillId="14" fontId="18" numFmtId="49" xfId="0" applyAlignment="1" applyBorder="1" applyFont="1" applyNumberFormat="1">
      <alignment horizontal="center" shrinkToFit="0" vertical="center" wrapText="1"/>
    </xf>
    <xf borderId="15" fillId="16" fontId="14" numFmtId="0" xfId="0" applyAlignment="1" applyBorder="1" applyFill="1" applyFont="1">
      <alignment vertical="center"/>
    </xf>
    <xf borderId="16" fillId="16" fontId="18" numFmtId="167" xfId="0" applyAlignment="1" applyBorder="1" applyFont="1" applyNumberFormat="1">
      <alignment horizontal="right" vertical="center"/>
    </xf>
    <xf borderId="17" fillId="16" fontId="18" numFmtId="167" xfId="0" applyAlignment="1" applyBorder="1" applyFont="1" applyNumberFormat="1">
      <alignment horizontal="right" vertical="center"/>
    </xf>
    <xf borderId="18" fillId="0" fontId="19" numFmtId="49" xfId="0" applyAlignment="1" applyBorder="1" applyFont="1" applyNumberFormat="1">
      <alignment horizontal="left" vertical="center"/>
    </xf>
    <xf borderId="19" fillId="0" fontId="20" numFmtId="167" xfId="0" applyAlignment="1" applyBorder="1" applyFont="1" applyNumberFormat="1">
      <alignment horizontal="right" vertical="center"/>
    </xf>
    <xf borderId="20" fillId="0" fontId="19" numFmtId="167" xfId="0" applyAlignment="1" applyBorder="1" applyFont="1" applyNumberFormat="1">
      <alignment horizontal="right" vertical="center"/>
    </xf>
    <xf borderId="20" fillId="0" fontId="20" numFmtId="167" xfId="0" applyAlignment="1" applyBorder="1" applyFont="1" applyNumberFormat="1">
      <alignment horizontal="right" vertical="center"/>
    </xf>
    <xf borderId="21" fillId="7" fontId="19" numFmtId="167" xfId="0" applyAlignment="1" applyBorder="1" applyFont="1" applyNumberFormat="1">
      <alignment horizontal="right" vertical="center"/>
    </xf>
    <xf borderId="22" fillId="7" fontId="19" numFmtId="167" xfId="0" applyAlignment="1" applyBorder="1" applyFont="1" applyNumberFormat="1">
      <alignment horizontal="right" vertical="center"/>
    </xf>
    <xf borderId="18" fillId="0" fontId="19" numFmtId="49" xfId="0" applyAlignment="1" applyBorder="1" applyFont="1" applyNumberFormat="1">
      <alignment horizontal="left" readingOrder="0" vertical="center"/>
    </xf>
    <xf borderId="23" fillId="7" fontId="19" numFmtId="167" xfId="0" applyAlignment="1" applyBorder="1" applyFont="1" applyNumberFormat="1">
      <alignment horizontal="right" vertical="center"/>
    </xf>
    <xf borderId="15" fillId="17" fontId="21" numFmtId="0" xfId="0" applyAlignment="1" applyBorder="1" applyFill="1" applyFont="1">
      <alignment readingOrder="0" vertical="center"/>
    </xf>
    <xf borderId="16" fillId="17" fontId="18" numFmtId="167" xfId="0" applyAlignment="1" applyBorder="1" applyFont="1" applyNumberFormat="1">
      <alignment horizontal="right" vertical="center"/>
    </xf>
    <xf borderId="17" fillId="17" fontId="18" numFmtId="167" xfId="0" applyAlignment="1" applyBorder="1" applyFont="1" applyNumberFormat="1">
      <alignment horizontal="right" vertical="center"/>
    </xf>
    <xf borderId="19" fillId="0" fontId="19" numFmtId="167" xfId="0" applyAlignment="1" applyBorder="1" applyFont="1" applyNumberFormat="1">
      <alignment horizontal="right" readingOrder="0" vertical="center"/>
    </xf>
    <xf borderId="20" fillId="0" fontId="20" numFmtId="167" xfId="0" applyAlignment="1" applyBorder="1" applyFont="1" applyNumberFormat="1">
      <alignment horizontal="right" readingOrder="0" vertical="center"/>
    </xf>
    <xf borderId="20" fillId="0" fontId="19" numFmtId="167" xfId="0" applyAlignment="1" applyBorder="1" applyFont="1" applyNumberFormat="1">
      <alignment horizontal="right" readingOrder="0" vertical="center"/>
    </xf>
    <xf borderId="21" fillId="7" fontId="22" numFmtId="167" xfId="0" applyAlignment="1" applyBorder="1" applyFont="1" applyNumberFormat="1">
      <alignment horizontal="right" vertical="center"/>
    </xf>
    <xf borderId="22" fillId="7" fontId="22" numFmtId="167" xfId="0" applyAlignment="1" applyBorder="1" applyFont="1" applyNumberFormat="1">
      <alignment horizontal="right" vertical="center"/>
    </xf>
    <xf borderId="19" fillId="0" fontId="19" numFmtId="167" xfId="0" applyAlignment="1" applyBorder="1" applyFont="1" applyNumberFormat="1">
      <alignment horizontal="right" vertical="center"/>
    </xf>
    <xf borderId="15" fillId="17" fontId="23" numFmtId="0" xfId="0" applyAlignment="1" applyBorder="1" applyFont="1">
      <alignment vertical="center"/>
    </xf>
    <xf borderId="16" fillId="17" fontId="22" numFmtId="167" xfId="0" applyAlignment="1" applyBorder="1" applyFont="1" applyNumberFormat="1">
      <alignment horizontal="right" vertical="center"/>
    </xf>
    <xf borderId="19" fillId="0" fontId="18" numFmtId="167" xfId="0" applyAlignment="1" applyBorder="1" applyFont="1" applyNumberFormat="1">
      <alignment horizontal="right" vertical="center"/>
    </xf>
    <xf borderId="20" fillId="0" fontId="22" numFmtId="167" xfId="0" applyAlignment="1" applyBorder="1" applyFont="1" applyNumberFormat="1">
      <alignment horizontal="right" vertical="center"/>
    </xf>
    <xf borderId="20" fillId="0" fontId="18" numFmtId="167" xfId="0" applyAlignment="1" applyBorder="1" applyFont="1" applyNumberFormat="1">
      <alignment horizontal="right" vertical="center"/>
    </xf>
    <xf borderId="23" fillId="7" fontId="22" numFmtId="167" xfId="0" applyAlignment="1" applyBorder="1" applyFont="1" applyNumberFormat="1">
      <alignment horizontal="right" vertical="center"/>
    </xf>
    <xf borderId="24" fillId="0" fontId="19" numFmtId="49" xfId="0" applyAlignment="1" applyBorder="1" applyFont="1" applyNumberFormat="1">
      <alignment horizontal="left" vertical="center"/>
    </xf>
    <xf borderId="25" fillId="0" fontId="18" numFmtId="167" xfId="0" applyAlignment="1" applyBorder="1" applyFont="1" applyNumberFormat="1">
      <alignment horizontal="right" vertical="center"/>
    </xf>
    <xf borderId="26" fillId="0" fontId="22" numFmtId="167" xfId="0" applyAlignment="1" applyBorder="1" applyFont="1" applyNumberFormat="1">
      <alignment horizontal="right" vertical="center"/>
    </xf>
    <xf borderId="26" fillId="0" fontId="18" numFmtId="167" xfId="0" applyAlignment="1" applyBorder="1" applyFont="1" applyNumberFormat="1">
      <alignment horizontal="right" vertical="center"/>
    </xf>
    <xf borderId="27" fillId="7" fontId="22" numFmtId="167" xfId="0" applyAlignment="1" applyBorder="1" applyFont="1" applyNumberFormat="1">
      <alignment horizontal="right" vertical="center"/>
    </xf>
    <xf borderId="28" fillId="0" fontId="14" numFmtId="0" xfId="0" applyAlignment="1" applyBorder="1" applyFont="1">
      <alignment vertical="center"/>
    </xf>
    <xf borderId="29" fillId="0" fontId="18" numFmtId="167" xfId="0" applyAlignment="1" applyBorder="1" applyFont="1" applyNumberFormat="1">
      <alignment horizontal="right" vertical="center"/>
    </xf>
    <xf borderId="17" fillId="7" fontId="18" numFmtId="167" xfId="0" applyAlignment="1" applyBorder="1" applyFont="1" applyNumberFormat="1">
      <alignment horizontal="right" vertical="center"/>
    </xf>
    <xf borderId="30" fillId="0" fontId="14" numFmtId="0" xfId="0" applyAlignment="1" applyBorder="1" applyFont="1">
      <alignment vertical="center"/>
    </xf>
    <xf borderId="3" fillId="0" fontId="18" numFmtId="167" xfId="0" applyAlignment="1" applyBorder="1" applyFont="1" applyNumberFormat="1">
      <alignment horizontal="right" vertical="center"/>
    </xf>
    <xf borderId="31" fillId="15" fontId="14" numFmtId="0" xfId="0" applyAlignment="1" applyBorder="1" applyFont="1">
      <alignment vertical="center"/>
    </xf>
    <xf borderId="17" fillId="15" fontId="18" numFmtId="167" xfId="0" applyAlignment="1" applyBorder="1" applyFont="1" applyNumberFormat="1">
      <alignment horizontal="right" vertical="center"/>
    </xf>
    <xf borderId="17" fillId="14" fontId="18" numFmtId="167" xfId="0" applyAlignment="1" applyBorder="1" applyFont="1" applyNumberFormat="1">
      <alignment horizontal="right" vertical="center"/>
    </xf>
    <xf borderId="17" fillId="15" fontId="18" numFmtId="10" xfId="0" applyAlignment="1" applyBorder="1" applyFont="1" applyNumberFormat="1">
      <alignment horizontal="right" vertical="center"/>
    </xf>
    <xf borderId="32" fillId="0" fontId="14" numFmtId="0" xfId="0" applyAlignment="1" applyBorder="1" applyFont="1">
      <alignment vertical="center"/>
    </xf>
    <xf borderId="22" fillId="7" fontId="18" numFmtId="167" xfId="0" applyAlignment="1" applyBorder="1" applyFont="1" applyNumberFormat="1">
      <alignment horizontal="right" vertical="center"/>
    </xf>
    <xf borderId="2" fillId="0" fontId="14" numFmtId="0" xfId="0" applyAlignment="1" applyBorder="1" applyFont="1">
      <alignment vertical="center"/>
    </xf>
    <xf borderId="0" fillId="0" fontId="19" numFmtId="49" xfId="0" applyAlignment="1" applyFont="1" applyNumberFormat="1">
      <alignment horizontal="left" vertical="center"/>
    </xf>
    <xf borderId="2" fillId="0" fontId="18" numFmtId="49" xfId="0" applyAlignment="1" applyBorder="1" applyFont="1" applyNumberFormat="1">
      <alignment vertical="center"/>
    </xf>
    <xf borderId="0" fillId="0" fontId="20" numFmtId="49" xfId="0" applyAlignment="1" applyFont="1" applyNumberFormat="1">
      <alignment horizontal="left" readingOrder="0" vertical="center"/>
    </xf>
    <xf borderId="33" fillId="15" fontId="14" numFmtId="0" xfId="0" applyAlignment="1" applyBorder="1" applyFont="1">
      <alignment vertical="center"/>
    </xf>
    <xf borderId="27" fillId="15" fontId="18" numFmtId="9" xfId="0" applyAlignment="1" applyBorder="1" applyFont="1" applyNumberFormat="1">
      <alignment horizontal="right" vertical="center"/>
    </xf>
    <xf borderId="34" fillId="0" fontId="5" numFmtId="167" xfId="0" applyAlignment="1" applyBorder="1" applyFont="1" applyNumberFormat="1">
      <alignment vertical="center"/>
    </xf>
    <xf borderId="13" fillId="7" fontId="5" numFmtId="167" xfId="0" applyAlignment="1" applyBorder="1" applyFont="1" applyNumberFormat="1">
      <alignment vertical="center"/>
    </xf>
    <xf borderId="0" fillId="0" fontId="24" numFmtId="0" xfId="0" applyAlignment="1" applyFont="1">
      <alignment vertical="center"/>
    </xf>
    <xf borderId="35" fillId="18" fontId="14" numFmtId="0" xfId="0" applyAlignment="1" applyBorder="1" applyFill="1" applyFont="1">
      <alignment vertical="center"/>
    </xf>
    <xf borderId="22" fillId="18" fontId="18" numFmtId="167" xfId="0" applyAlignment="1" applyBorder="1" applyFont="1" applyNumberFormat="1">
      <alignment horizontal="right" vertical="center"/>
    </xf>
    <xf borderId="22" fillId="18" fontId="22" numFmtId="167" xfId="0" applyAlignment="1" applyBorder="1" applyFont="1" applyNumberFormat="1">
      <alignment horizontal="right" vertical="center"/>
    </xf>
    <xf borderId="0" fillId="0" fontId="18" numFmtId="49" xfId="0" applyAlignment="1" applyFont="1" applyNumberFormat="1">
      <alignment vertical="center"/>
    </xf>
    <xf borderId="0" fillId="0" fontId="8" numFmtId="0" xfId="0" applyAlignment="1" applyFont="1">
      <alignment readingOrder="0" vertical="center"/>
    </xf>
    <xf borderId="0" fillId="0" fontId="8" numFmtId="167" xfId="0" applyAlignment="1" applyFont="1" applyNumberFormat="1">
      <alignment vertical="center"/>
    </xf>
    <xf borderId="0" fillId="0" fontId="25" numFmtId="0" xfId="0" applyAlignment="1" applyFont="1">
      <alignment readingOrder="0" vertical="center"/>
    </xf>
    <xf borderId="0" fillId="0" fontId="25" numFmtId="167" xfId="0" applyAlignment="1" applyFont="1" applyNumberFormat="1">
      <alignment vertical="center"/>
    </xf>
    <xf borderId="0" fillId="0" fontId="25" numFmtId="0" xfId="0" applyAlignment="1" applyFont="1">
      <alignment vertical="center"/>
    </xf>
    <xf borderId="36" fillId="0" fontId="17" numFmtId="49" xfId="0" applyAlignment="1" applyBorder="1" applyFont="1" applyNumberFormat="1">
      <alignment vertical="top"/>
    </xf>
    <xf borderId="37" fillId="19" fontId="17" numFmtId="49" xfId="0" applyAlignment="1" applyBorder="1" applyFill="1" applyFont="1" applyNumberFormat="1">
      <alignment horizontal="center" readingOrder="0" vertical="top"/>
    </xf>
    <xf borderId="38" fillId="0" fontId="3" numFmtId="0" xfId="0" applyBorder="1" applyFont="1"/>
    <xf borderId="39" fillId="0" fontId="3" numFmtId="0" xfId="0" applyBorder="1" applyFont="1"/>
    <xf borderId="40" fillId="9" fontId="17" numFmtId="49" xfId="0" applyAlignment="1" applyBorder="1" applyFont="1" applyNumberFormat="1">
      <alignment horizontal="center" vertical="center"/>
    </xf>
    <xf borderId="41" fillId="0" fontId="18" numFmtId="49" xfId="0" applyAlignment="1" applyBorder="1" applyFont="1" applyNumberFormat="1">
      <alignment horizontal="left" vertical="top"/>
    </xf>
    <xf borderId="42" fillId="19" fontId="18" numFmtId="49" xfId="0" applyAlignment="1" applyBorder="1" applyFont="1" applyNumberFormat="1">
      <alignment horizontal="center" vertical="top"/>
    </xf>
    <xf borderId="43" fillId="19" fontId="18" numFmtId="49" xfId="0" applyAlignment="1" applyBorder="1" applyFont="1" applyNumberFormat="1">
      <alignment horizontal="center" vertical="top"/>
    </xf>
    <xf borderId="44" fillId="19" fontId="18" numFmtId="49" xfId="0" applyAlignment="1" applyBorder="1" applyFont="1" applyNumberFormat="1">
      <alignment horizontal="center" vertical="top"/>
    </xf>
    <xf borderId="45" fillId="19" fontId="18" numFmtId="49" xfId="0" applyAlignment="1" applyBorder="1" applyFont="1" applyNumberFormat="1">
      <alignment horizontal="center" vertical="top"/>
    </xf>
    <xf borderId="46" fillId="0" fontId="3" numFmtId="0" xfId="0" applyBorder="1" applyFont="1"/>
    <xf borderId="47" fillId="7" fontId="18" numFmtId="49" xfId="0" applyAlignment="1" applyBorder="1" applyFont="1" applyNumberFormat="1">
      <alignment vertical="top"/>
    </xf>
    <xf borderId="48" fillId="7" fontId="18" numFmtId="164" xfId="0" applyAlignment="1" applyBorder="1" applyFont="1" applyNumberFormat="1">
      <alignment horizontal="right" vertical="top"/>
    </xf>
    <xf borderId="49" fillId="7" fontId="22" numFmtId="164" xfId="0" applyAlignment="1" applyBorder="1" applyFont="1" applyNumberFormat="1">
      <alignment horizontal="right" vertical="top"/>
    </xf>
    <xf borderId="50" fillId="0" fontId="19" numFmtId="49" xfId="0" applyAlignment="1" applyBorder="1" applyFont="1" applyNumberFormat="1">
      <alignment horizontal="left" readingOrder="0" vertical="top"/>
    </xf>
    <xf borderId="51" fillId="0" fontId="19" numFmtId="164" xfId="0" applyAlignment="1" applyBorder="1" applyFont="1" applyNumberFormat="1">
      <alignment horizontal="right" readingOrder="0" vertical="top"/>
    </xf>
    <xf borderId="32" fillId="0" fontId="19" numFmtId="164" xfId="0" applyAlignment="1" applyBorder="1" applyFont="1" applyNumberFormat="1">
      <alignment horizontal="right" vertical="top"/>
    </xf>
    <xf borderId="52" fillId="0" fontId="19" numFmtId="164" xfId="0" applyAlignment="1" applyBorder="1" applyFont="1" applyNumberFormat="1">
      <alignment horizontal="right" vertical="top"/>
    </xf>
    <xf borderId="50" fillId="0" fontId="19" numFmtId="164" xfId="0" applyAlignment="1" applyBorder="1" applyFont="1" applyNumberFormat="1">
      <alignment horizontal="right" vertical="top"/>
    </xf>
    <xf borderId="32" fillId="0" fontId="19" numFmtId="164" xfId="0" applyAlignment="1" applyBorder="1" applyFont="1" applyNumberFormat="1">
      <alignment horizontal="right" readingOrder="0" vertical="top"/>
    </xf>
    <xf borderId="52" fillId="0" fontId="19" numFmtId="164" xfId="0" applyAlignment="1" applyBorder="1" applyFont="1" applyNumberFormat="1">
      <alignment horizontal="right" readingOrder="0" vertical="top"/>
    </xf>
    <xf borderId="51" fillId="0" fontId="19" numFmtId="164" xfId="0" applyAlignment="1" applyBorder="1" applyFont="1" applyNumberFormat="1">
      <alignment horizontal="right" vertical="top"/>
    </xf>
    <xf borderId="50" fillId="0" fontId="19" numFmtId="49" xfId="0" applyAlignment="1" applyBorder="1" applyFont="1" applyNumberFormat="1">
      <alignment horizontal="left" vertical="top"/>
    </xf>
    <xf borderId="47" fillId="7" fontId="18" numFmtId="49" xfId="0" applyAlignment="1" applyBorder="1" applyFont="1" applyNumberFormat="1">
      <alignment readingOrder="0" vertical="top"/>
    </xf>
    <xf borderId="53" fillId="0" fontId="26" numFmtId="164" xfId="0" applyAlignment="1" applyBorder="1" applyFont="1" applyNumberFormat="1">
      <alignment horizontal="right" readingOrder="0" shrinkToFit="0" vertical="top" wrapText="0"/>
    </xf>
    <xf borderId="32" fillId="0" fontId="26" numFmtId="164" xfId="0" applyAlignment="1" applyBorder="1" applyFont="1" applyNumberFormat="1">
      <alignment horizontal="right" readingOrder="0" shrinkToFit="0" vertical="top" wrapText="0"/>
    </xf>
    <xf borderId="33" fillId="7" fontId="18" numFmtId="164" xfId="0" applyAlignment="1" applyBorder="1" applyFont="1" applyNumberFormat="1">
      <alignment horizontal="right" vertical="top"/>
    </xf>
    <xf borderId="54" fillId="7" fontId="18" numFmtId="164" xfId="0" applyAlignment="1" applyBorder="1" applyFont="1" applyNumberFormat="1">
      <alignment horizontal="right" vertical="top"/>
    </xf>
    <xf borderId="55" fillId="0" fontId="19" numFmtId="164" xfId="0" applyAlignment="1" applyBorder="1" applyFont="1" applyNumberFormat="1">
      <alignment horizontal="right" readingOrder="0" vertical="top"/>
    </xf>
    <xf borderId="53" fillId="0" fontId="19" numFmtId="164" xfId="0" applyAlignment="1" applyBorder="1" applyFont="1" applyNumberFormat="1">
      <alignment horizontal="right" readingOrder="0" vertical="top"/>
    </xf>
    <xf borderId="56" fillId="0" fontId="19" numFmtId="164" xfId="0" applyAlignment="1" applyBorder="1" applyFont="1" applyNumberFormat="1">
      <alignment horizontal="right" readingOrder="0" vertical="top"/>
    </xf>
    <xf borderId="53" fillId="0" fontId="19" numFmtId="164" xfId="0" applyAlignment="1" applyBorder="1" applyFont="1" applyNumberFormat="1">
      <alignment horizontal="right" vertical="top"/>
    </xf>
    <xf borderId="57" fillId="0" fontId="19" numFmtId="164" xfId="0" applyAlignment="1" applyBorder="1" applyFont="1" applyNumberFormat="1">
      <alignment horizontal="right" vertical="top"/>
    </xf>
    <xf borderId="47" fillId="7" fontId="19" numFmtId="49" xfId="0" applyAlignment="1" applyBorder="1" applyFont="1" applyNumberFormat="1">
      <alignment vertical="top"/>
    </xf>
    <xf borderId="58" fillId="7" fontId="19" numFmtId="164" xfId="0" applyAlignment="1" applyBorder="1" applyFont="1" applyNumberFormat="1">
      <alignment horizontal="right" readingOrder="0" vertical="top"/>
    </xf>
    <xf borderId="59" fillId="7" fontId="19" numFmtId="164" xfId="0" applyAlignment="1" applyBorder="1" applyFont="1" applyNumberFormat="1">
      <alignment horizontal="right" readingOrder="0" vertical="top"/>
    </xf>
    <xf borderId="60" fillId="7" fontId="18" numFmtId="164" xfId="0" applyAlignment="1" applyBorder="1" applyFont="1" applyNumberFormat="1">
      <alignment horizontal="right" vertical="top"/>
    </xf>
    <xf borderId="47" fillId="7" fontId="19" numFmtId="49" xfId="0" applyAlignment="1" applyBorder="1" applyFont="1" applyNumberFormat="1">
      <alignment readingOrder="0" vertical="top"/>
    </xf>
    <xf borderId="58" fillId="7" fontId="19" numFmtId="164" xfId="0" applyAlignment="1" applyBorder="1" applyFont="1" applyNumberFormat="1">
      <alignment horizontal="right" vertical="top"/>
    </xf>
    <xf borderId="59" fillId="7" fontId="19" numFmtId="164" xfId="0" applyAlignment="1" applyBorder="1" applyFont="1" applyNumberFormat="1">
      <alignment horizontal="right" vertical="top"/>
    </xf>
    <xf borderId="61" fillId="7" fontId="19" numFmtId="164" xfId="0" applyAlignment="1" applyBorder="1" applyFont="1" applyNumberFormat="1">
      <alignment horizontal="right" readingOrder="0" vertical="top"/>
    </xf>
    <xf borderId="61" fillId="7" fontId="19" numFmtId="164" xfId="0" applyAlignment="1" applyBorder="1" applyFont="1" applyNumberFormat="1">
      <alignment horizontal="right" vertical="top"/>
    </xf>
    <xf borderId="47" fillId="7" fontId="18" numFmtId="164" xfId="0" applyAlignment="1" applyBorder="1" applyFont="1" applyNumberFormat="1">
      <alignment horizontal="right" vertical="top"/>
    </xf>
    <xf borderId="62" fillId="7" fontId="19" numFmtId="164" xfId="0" applyAlignment="1" applyBorder="1" applyFont="1" applyNumberFormat="1">
      <alignment horizontal="right" vertical="top"/>
    </xf>
    <xf borderId="63" fillId="0" fontId="18" numFmtId="49" xfId="0" applyAlignment="1" applyBorder="1" applyFont="1" applyNumberFormat="1">
      <alignment horizontal="left" vertical="top"/>
    </xf>
    <xf borderId="64" fillId="16" fontId="18" numFmtId="164" xfId="0" applyAlignment="1" applyBorder="1" applyFont="1" applyNumberFormat="1">
      <alignment horizontal="right" vertical="top"/>
    </xf>
    <xf borderId="0" fillId="0" fontId="5" numFmtId="2" xfId="0" applyFont="1" applyNumberFormat="1"/>
    <xf borderId="0" fillId="0" fontId="5" numFmtId="164" xfId="0" applyFont="1" applyNumberFormat="1"/>
    <xf borderId="0" fillId="0" fontId="5" numFmtId="0" xfId="0" applyFont="1"/>
    <xf borderId="65" fillId="20" fontId="27" numFmtId="0" xfId="0" applyAlignment="1" applyBorder="1" applyFill="1" applyFont="1">
      <alignment horizontal="center" readingOrder="0"/>
    </xf>
    <xf borderId="66" fillId="0" fontId="3" numFmtId="0" xfId="0" applyBorder="1" applyFont="1"/>
    <xf borderId="67" fillId="0" fontId="3" numFmtId="0" xfId="0" applyBorder="1" applyFont="1"/>
    <xf borderId="68" fillId="20" fontId="28" numFmtId="0" xfId="0" applyAlignment="1" applyBorder="1" applyFont="1">
      <alignment horizontal="center"/>
    </xf>
    <xf borderId="69" fillId="0" fontId="3" numFmtId="0" xfId="0" applyBorder="1" applyFont="1"/>
    <xf borderId="70" fillId="0" fontId="3" numFmtId="0" xfId="0" applyBorder="1" applyFont="1"/>
    <xf borderId="0" fillId="0" fontId="29" numFmtId="0" xfId="0" applyFont="1"/>
    <xf borderId="0" fillId="0" fontId="30" numFmtId="0" xfId="0" applyFont="1"/>
    <xf borderId="71" fillId="0" fontId="31" numFmtId="0" xfId="0" applyBorder="1" applyFont="1"/>
    <xf borderId="72" fillId="21" fontId="30" numFmtId="0" xfId="0" applyAlignment="1" applyBorder="1" applyFill="1" applyFont="1">
      <alignment horizontal="center"/>
    </xf>
    <xf borderId="73" fillId="21" fontId="30" numFmtId="0" xfId="0" applyAlignment="1" applyBorder="1" applyFont="1">
      <alignment horizontal="center"/>
    </xf>
    <xf borderId="74" fillId="0" fontId="32" numFmtId="0" xfId="0" applyBorder="1" applyFont="1"/>
    <xf borderId="0" fillId="0" fontId="29" numFmtId="9" xfId="0" applyFont="1" applyNumberFormat="1"/>
    <xf borderId="75" fillId="0" fontId="29" numFmtId="0" xfId="0" applyBorder="1" applyFont="1"/>
    <xf borderId="42" fillId="0" fontId="32" numFmtId="0" xfId="0" applyBorder="1" applyFont="1"/>
    <xf borderId="76" fillId="0" fontId="29" numFmtId="9" xfId="0" applyBorder="1" applyFont="1" applyNumberFormat="1"/>
    <xf borderId="76" fillId="0" fontId="29" numFmtId="164" xfId="0" applyBorder="1" applyFont="1" applyNumberFormat="1"/>
    <xf borderId="77" fillId="0" fontId="29" numFmtId="164" xfId="0" applyBorder="1" applyFont="1" applyNumberFormat="1"/>
    <xf borderId="0" fillId="0" fontId="32" numFmtId="0" xfId="0" applyFont="1"/>
    <xf borderId="0" fillId="0" fontId="29" numFmtId="164" xfId="0" applyFont="1" applyNumberFormat="1"/>
    <xf borderId="0" fillId="0" fontId="33" numFmtId="0" xfId="0" applyAlignment="1" applyFont="1">
      <alignment vertical="center"/>
    </xf>
    <xf borderId="37" fillId="0" fontId="34" numFmtId="0" xfId="0" applyAlignment="1" applyBorder="1" applyFont="1">
      <alignment vertical="center"/>
    </xf>
    <xf borderId="78" fillId="22" fontId="35" numFmtId="0" xfId="0" applyAlignment="1" applyBorder="1" applyFill="1" applyFont="1">
      <alignment horizontal="center" vertical="center"/>
    </xf>
    <xf borderId="79" fillId="22" fontId="35" numFmtId="0" xfId="0" applyAlignment="1" applyBorder="1" applyFont="1">
      <alignment horizontal="center" vertical="center"/>
    </xf>
    <xf borderId="80" fillId="22" fontId="35" numFmtId="0" xfId="0" applyAlignment="1" applyBorder="1" applyFont="1">
      <alignment horizontal="center" vertical="center"/>
    </xf>
    <xf borderId="81" fillId="22" fontId="35" numFmtId="0" xfId="0" applyAlignment="1" applyBorder="1" applyFont="1">
      <alignment horizontal="center" vertical="center"/>
    </xf>
    <xf borderId="82" fillId="0" fontId="31" numFmtId="0" xfId="0" applyAlignment="1" applyBorder="1" applyFont="1">
      <alignment vertical="center"/>
    </xf>
    <xf borderId="83" fillId="0" fontId="5" numFmtId="164" xfId="0" applyAlignment="1" applyBorder="1" applyFont="1" applyNumberFormat="1">
      <alignment vertical="center"/>
    </xf>
    <xf borderId="84" fillId="0" fontId="5" numFmtId="0" xfId="0" applyAlignment="1" applyBorder="1" applyFont="1">
      <alignment vertical="center"/>
    </xf>
    <xf borderId="83" fillId="0" fontId="5" numFmtId="0" xfId="0" applyAlignment="1" applyBorder="1" applyFont="1">
      <alignment vertical="center"/>
    </xf>
    <xf borderId="85" fillId="0" fontId="5" numFmtId="0" xfId="0" applyAlignment="1" applyBorder="1" applyFont="1">
      <alignment vertical="center"/>
    </xf>
    <xf borderId="0" fillId="0" fontId="29" numFmtId="0" xfId="0" applyAlignment="1" applyFont="1">
      <alignment vertical="center"/>
    </xf>
    <xf borderId="86" fillId="0" fontId="36" numFmtId="0" xfId="0" applyAlignment="1" applyBorder="1" applyFont="1">
      <alignment vertical="center"/>
    </xf>
    <xf borderId="0" fillId="0" fontId="5" numFmtId="164" xfId="0" applyAlignment="1" applyFont="1" applyNumberFormat="1">
      <alignment vertical="center"/>
    </xf>
    <xf borderId="84" fillId="0" fontId="5" numFmtId="164" xfId="0" applyAlignment="1" applyBorder="1" applyFont="1" applyNumberFormat="1">
      <alignment vertical="center"/>
    </xf>
    <xf borderId="85" fillId="0" fontId="5" numFmtId="164" xfId="0" applyAlignment="1" applyBorder="1" applyFont="1" applyNumberFormat="1">
      <alignment vertical="center"/>
    </xf>
    <xf borderId="83" fillId="0" fontId="5" numFmtId="164" xfId="0" applyAlignment="1" applyBorder="1" applyFont="1" applyNumberFormat="1">
      <alignment readingOrder="0" vertical="center"/>
    </xf>
    <xf borderId="0" fillId="0" fontId="5" numFmtId="164" xfId="0" applyAlignment="1" applyFont="1" applyNumberFormat="1">
      <alignment readingOrder="0" vertical="center"/>
    </xf>
    <xf borderId="0" fillId="0" fontId="15" numFmtId="164" xfId="0" applyAlignment="1" applyFont="1" applyNumberFormat="1">
      <alignment vertical="center"/>
    </xf>
    <xf borderId="87" fillId="23" fontId="31" numFmtId="0" xfId="0" applyAlignment="1" applyBorder="1" applyFill="1" applyFont="1">
      <alignment vertical="center"/>
    </xf>
    <xf borderId="87" fillId="23" fontId="11" numFmtId="164" xfId="0" applyAlignment="1" applyBorder="1" applyFont="1" applyNumberFormat="1">
      <alignment vertical="center"/>
    </xf>
    <xf borderId="88" fillId="23" fontId="11" numFmtId="164" xfId="0" applyAlignment="1" applyBorder="1" applyFont="1" applyNumberFormat="1">
      <alignment vertical="center"/>
    </xf>
    <xf borderId="89" fillId="23" fontId="11" numFmtId="164" xfId="0" applyAlignment="1" applyBorder="1" applyFont="1" applyNumberFormat="1">
      <alignment vertical="center"/>
    </xf>
    <xf borderId="86" fillId="0" fontId="31" numFmtId="0" xfId="0" applyAlignment="1" applyBorder="1" applyFont="1">
      <alignment vertical="center"/>
    </xf>
    <xf borderId="83" fillId="0" fontId="15" numFmtId="164" xfId="0" applyAlignment="1" applyBorder="1" applyFont="1" applyNumberFormat="1">
      <alignment vertical="center"/>
    </xf>
    <xf borderId="90" fillId="0" fontId="36" numFmtId="0" xfId="0" applyAlignment="1" applyBorder="1" applyFont="1">
      <alignment vertical="center"/>
    </xf>
    <xf borderId="87" fillId="16" fontId="31" numFmtId="0" xfId="0" applyAlignment="1" applyBorder="1" applyFont="1">
      <alignment vertical="center"/>
    </xf>
    <xf borderId="87" fillId="16" fontId="15" numFmtId="164" xfId="0" applyAlignment="1" applyBorder="1" applyFont="1" applyNumberFormat="1">
      <alignment horizontal="center" vertical="center"/>
    </xf>
    <xf borderId="88" fillId="16" fontId="15" numFmtId="164" xfId="0" applyAlignment="1" applyBorder="1" applyFont="1" applyNumberFormat="1">
      <alignment horizontal="center" vertical="center"/>
    </xf>
    <xf borderId="89" fillId="16" fontId="15" numFmtId="164" xfId="0" applyAlignment="1" applyBorder="1" applyFont="1" applyNumberFormat="1">
      <alignment horizontal="center" vertical="center"/>
    </xf>
    <xf borderId="82" fillId="0" fontId="32" numFmtId="0" xfId="0" applyAlignment="1" applyBorder="1" applyFont="1">
      <alignment vertical="center"/>
    </xf>
    <xf borderId="85" fillId="0" fontId="5" numFmtId="164" xfId="0" applyAlignment="1" applyBorder="1" applyFont="1" applyNumberFormat="1">
      <alignment horizontal="center" vertical="center"/>
    </xf>
    <xf borderId="86" fillId="0" fontId="32" numFmtId="0" xfId="0" applyAlignment="1" applyBorder="1" applyFont="1">
      <alignment vertical="center"/>
    </xf>
    <xf borderId="84" fillId="0" fontId="15" numFmtId="164" xfId="0" applyAlignment="1" applyBorder="1" applyFont="1" applyNumberFormat="1">
      <alignment vertical="center"/>
    </xf>
    <xf borderId="85" fillId="0" fontId="15" numFmtId="164" xfId="0" applyAlignment="1" applyBorder="1" applyFont="1" applyNumberFormat="1">
      <alignment horizontal="center" vertical="center"/>
    </xf>
    <xf borderId="82" fillId="0" fontId="37" numFmtId="0" xfId="0" applyAlignment="1" applyBorder="1" applyFont="1">
      <alignment vertical="center"/>
    </xf>
    <xf borderId="83" fillId="0" fontId="15" numFmtId="164" xfId="0" applyAlignment="1" applyBorder="1" applyFont="1" applyNumberFormat="1">
      <alignment horizontal="center" vertical="center"/>
    </xf>
    <xf borderId="0" fillId="0" fontId="15" numFmtId="164" xfId="0" applyAlignment="1" applyFont="1" applyNumberFormat="1">
      <alignment horizontal="center" vertical="center"/>
    </xf>
    <xf borderId="84" fillId="0" fontId="15" numFmtId="164" xfId="0" applyAlignment="1" applyBorder="1" applyFont="1" applyNumberFormat="1">
      <alignment horizontal="center" vertical="center"/>
    </xf>
    <xf borderId="86" fillId="0" fontId="36" numFmtId="0" xfId="0" applyAlignment="1" applyBorder="1" applyFont="1">
      <alignment readingOrder="0" vertical="center"/>
    </xf>
    <xf borderId="88" fillId="0" fontId="36" numFmtId="0" xfId="0" applyAlignment="1" applyBorder="1" applyFont="1">
      <alignment vertical="center"/>
    </xf>
    <xf borderId="88" fillId="0" fontId="32" numFmtId="0" xfId="0" applyAlignment="1" applyBorder="1" applyFont="1">
      <alignment vertical="center"/>
    </xf>
    <xf borderId="88" fillId="0" fontId="31" numFmtId="0" xfId="0" applyAlignment="1" applyBorder="1" applyFont="1">
      <alignment vertical="center"/>
    </xf>
    <xf borderId="90" fillId="0" fontId="32" numFmtId="0" xfId="0" applyAlignment="1" applyBorder="1" applyFont="1">
      <alignment vertical="center"/>
    </xf>
    <xf borderId="91" fillId="14" fontId="31" numFmtId="0" xfId="0" applyAlignment="1" applyBorder="1" applyFont="1">
      <alignment vertical="center"/>
    </xf>
    <xf borderId="91" fillId="14" fontId="7" numFmtId="164" xfId="0" applyAlignment="1" applyBorder="1" applyFont="1" applyNumberFormat="1">
      <alignment vertical="center"/>
    </xf>
    <xf borderId="89" fillId="14" fontId="7" numFmtId="164" xfId="0" applyAlignment="1" applyBorder="1" applyFont="1" applyNumberFormat="1">
      <alignment vertical="center"/>
    </xf>
    <xf borderId="0" fillId="0" fontId="29" numFmtId="164" xfId="0" applyAlignment="1" applyFont="1" applyNumberFormat="1">
      <alignment vertical="center"/>
    </xf>
    <xf borderId="83" fillId="0" fontId="32" numFmtId="0" xfId="0" applyAlignment="1" applyBorder="1" applyFont="1">
      <alignment vertical="center"/>
    </xf>
    <xf borderId="92" fillId="0" fontId="36" numFmtId="0" xfId="0" applyAlignment="1" applyBorder="1" applyFont="1">
      <alignment vertical="center"/>
    </xf>
    <xf borderId="93" fillId="0" fontId="5" numFmtId="164" xfId="0" applyAlignment="1" applyBorder="1" applyFont="1" applyNumberFormat="1">
      <alignment vertical="center"/>
    </xf>
    <xf borderId="94" fillId="0" fontId="5" numFmtId="164" xfId="0" applyAlignment="1" applyBorder="1" applyFont="1" applyNumberFormat="1">
      <alignment vertical="center"/>
    </xf>
    <xf borderId="92" fillId="0" fontId="5" numFmtId="164" xfId="0" applyAlignment="1" applyBorder="1" applyFont="1" applyNumberFormat="1">
      <alignment vertical="center"/>
    </xf>
    <xf borderId="89" fillId="0" fontId="5" numFmtId="164" xfId="0" applyAlignment="1" applyBorder="1" applyFont="1" applyNumberFormat="1">
      <alignment vertical="center"/>
    </xf>
    <xf borderId="95" fillId="0" fontId="5" numFmtId="164" xfId="0" applyAlignment="1" applyBorder="1" applyFont="1" applyNumberFormat="1">
      <alignment vertical="center"/>
    </xf>
    <xf borderId="83" fillId="0" fontId="36" numFmtId="0" xfId="0" applyAlignment="1" applyBorder="1" applyFont="1">
      <alignment vertical="center"/>
    </xf>
    <xf borderId="91" fillId="23" fontId="31" numFmtId="0" xfId="0" applyAlignment="1" applyBorder="1" applyFont="1">
      <alignment vertical="center"/>
    </xf>
    <xf borderId="96" fillId="0" fontId="5" numFmtId="164" xfId="0" applyAlignment="1" applyBorder="1" applyFont="1" applyNumberFormat="1">
      <alignment vertical="center"/>
    </xf>
    <xf borderId="35" fillId="23" fontId="15" numFmtId="164" xfId="0" applyBorder="1" applyFont="1" applyNumberFormat="1"/>
    <xf borderId="0" fillId="0" fontId="31" numFmtId="0" xfId="0" applyFont="1"/>
    <xf borderId="97" fillId="0" fontId="31" numFmtId="0" xfId="0" applyAlignment="1" applyBorder="1" applyFont="1">
      <alignment horizontal="center" vertical="center"/>
    </xf>
    <xf borderId="98" fillId="0" fontId="5" numFmtId="0" xfId="0" applyAlignment="1" applyBorder="1" applyFont="1">
      <alignment horizontal="left" readingOrder="0" shrinkToFit="0" wrapText="1"/>
    </xf>
    <xf borderId="98" fillId="0" fontId="3" numFmtId="0" xfId="0" applyBorder="1" applyFont="1"/>
    <xf borderId="99" fillId="0" fontId="3" numFmtId="0" xfId="0" applyBorder="1" applyFont="1"/>
    <xf borderId="83" fillId="0" fontId="3" numFmtId="0" xfId="0" applyBorder="1" applyFont="1"/>
    <xf borderId="0" fillId="0" fontId="5" numFmtId="0" xfId="0" applyAlignment="1" applyFont="1">
      <alignment horizontal="left"/>
    </xf>
    <xf borderId="84" fillId="0" fontId="5" numFmtId="0" xfId="0" applyBorder="1" applyFont="1"/>
    <xf borderId="100" fillId="0" fontId="3" numFmtId="0" xfId="0" applyBorder="1" applyFont="1"/>
    <xf borderId="76" fillId="0" fontId="5" numFmtId="0" xfId="0" applyBorder="1" applyFont="1"/>
    <xf borderId="101" fillId="0" fontId="5" numFmtId="0" xfId="0" applyBorder="1" applyFont="1"/>
    <xf borderId="0" fillId="0" fontId="38" numFmtId="0" xfId="0" applyFont="1"/>
    <xf borderId="35" fillId="24" fontId="39" numFmtId="168" xfId="0" applyBorder="1" applyFill="1" applyFont="1" applyNumberFormat="1"/>
    <xf borderId="35" fillId="24" fontId="39" numFmtId="0" xfId="0" applyAlignment="1" applyBorder="1" applyFont="1">
      <alignment horizontal="center"/>
    </xf>
    <xf borderId="35" fillId="24" fontId="39" numFmtId="2" xfId="0" applyAlignment="1" applyBorder="1" applyFont="1" applyNumberFormat="1">
      <alignment horizontal="center"/>
    </xf>
    <xf borderId="35" fillId="25" fontId="14" numFmtId="17" xfId="0" applyAlignment="1" applyBorder="1" applyFill="1" applyFont="1" applyNumberFormat="1">
      <alignment horizontal="center"/>
    </xf>
    <xf borderId="35" fillId="26" fontId="5" numFmtId="168" xfId="0" applyBorder="1" applyFill="1" applyFont="1" applyNumberFormat="1"/>
    <xf borderId="35" fillId="26" fontId="5" numFmtId="0" xfId="0" applyAlignment="1" applyBorder="1" applyFont="1">
      <alignment horizontal="center"/>
    </xf>
    <xf borderId="35" fillId="26" fontId="5" numFmtId="169" xfId="0" applyAlignment="1" applyBorder="1" applyFont="1" applyNumberFormat="1">
      <alignment horizontal="center"/>
    </xf>
    <xf borderId="35" fillId="26" fontId="5" numFmtId="4" xfId="0" applyAlignment="1" applyBorder="1" applyFont="1" applyNumberFormat="1">
      <alignment horizontal="center"/>
    </xf>
    <xf borderId="0" fillId="0" fontId="5" numFmtId="4" xfId="0" applyAlignment="1" applyFont="1" applyNumberFormat="1">
      <alignment horizontal="center" readingOrder="0"/>
    </xf>
    <xf borderId="35" fillId="26" fontId="5" numFmtId="4" xfId="0" applyAlignment="1" applyBorder="1" applyFont="1" applyNumberFormat="1">
      <alignment horizontal="center" readingOrder="0"/>
    </xf>
    <xf borderId="35" fillId="27" fontId="5" numFmtId="168" xfId="0" applyBorder="1" applyFill="1" applyFont="1" applyNumberFormat="1"/>
    <xf borderId="35" fillId="27" fontId="5" numFmtId="0" xfId="0" applyAlignment="1" applyBorder="1" applyFont="1">
      <alignment horizontal="center"/>
    </xf>
    <xf borderId="35" fillId="27" fontId="5" numFmtId="4" xfId="0" applyAlignment="1" applyBorder="1" applyFont="1" applyNumberFormat="1">
      <alignment horizontal="center"/>
    </xf>
    <xf borderId="0" fillId="0" fontId="5" numFmtId="4" xfId="0" applyAlignment="1" applyFont="1" applyNumberFormat="1">
      <alignment horizontal="center"/>
    </xf>
    <xf borderId="35" fillId="27" fontId="5" numFmtId="169" xfId="0" applyAlignment="1" applyBorder="1" applyFont="1" applyNumberFormat="1">
      <alignment horizontal="center"/>
    </xf>
    <xf borderId="35" fillId="27" fontId="5" numFmtId="4" xfId="0" applyAlignment="1" applyBorder="1" applyFont="1" applyNumberFormat="1">
      <alignment horizontal="center" readingOrder="0"/>
    </xf>
    <xf borderId="35" fillId="28" fontId="5" numFmtId="168" xfId="0" applyBorder="1" applyFill="1" applyFont="1" applyNumberFormat="1"/>
    <xf borderId="35" fillId="28" fontId="5" numFmtId="0" xfId="0" applyAlignment="1" applyBorder="1" applyFont="1">
      <alignment horizontal="center"/>
    </xf>
    <xf borderId="35" fillId="28" fontId="5" numFmtId="169" xfId="0" applyAlignment="1" applyBorder="1" applyFont="1" applyNumberFormat="1">
      <alignment horizontal="center"/>
    </xf>
    <xf borderId="35" fillId="28" fontId="5" numFmtId="4" xfId="0" applyAlignment="1" applyBorder="1" applyFont="1" applyNumberFormat="1">
      <alignment horizontal="center"/>
    </xf>
    <xf borderId="35" fillId="28" fontId="5" numFmtId="4" xfId="0" applyAlignment="1" applyBorder="1" applyFont="1" applyNumberFormat="1">
      <alignment horizontal="center" readingOrder="0"/>
    </xf>
    <xf borderId="35" fillId="27" fontId="5" numFmtId="0" xfId="0" applyAlignment="1" applyBorder="1" applyFont="1">
      <alignment horizontal="center" readingOrder="0"/>
    </xf>
    <xf borderId="35" fillId="23" fontId="5" numFmtId="168" xfId="0" applyBorder="1" applyFont="1" applyNumberFormat="1"/>
    <xf borderId="35" fillId="23" fontId="5" numFmtId="0" xfId="0" applyAlignment="1" applyBorder="1" applyFont="1">
      <alignment horizontal="center"/>
    </xf>
    <xf borderId="35" fillId="23" fontId="5" numFmtId="169" xfId="0" applyAlignment="1" applyBorder="1" applyFont="1" applyNumberFormat="1">
      <alignment horizontal="center"/>
    </xf>
    <xf borderId="35" fillId="23" fontId="5" numFmtId="4" xfId="0" applyAlignment="1" applyBorder="1" applyFont="1" applyNumberFormat="1">
      <alignment horizontal="center"/>
    </xf>
    <xf borderId="35" fillId="23" fontId="5" numFmtId="4" xfId="0" applyAlignment="1" applyBorder="1" applyFont="1" applyNumberFormat="1">
      <alignment horizontal="center" readingOrder="0"/>
    </xf>
    <xf borderId="4" fillId="27" fontId="5" numFmtId="0" xfId="0" applyAlignment="1" applyBorder="1" applyFont="1">
      <alignment horizontal="center" vertical="top"/>
    </xf>
    <xf borderId="35" fillId="29" fontId="5" numFmtId="168" xfId="0" applyBorder="1" applyFill="1" applyFont="1" applyNumberFormat="1"/>
    <xf borderId="35" fillId="29" fontId="5" numFmtId="0" xfId="0" applyAlignment="1" applyBorder="1" applyFont="1">
      <alignment horizontal="center"/>
    </xf>
    <xf borderId="35" fillId="29" fontId="5" numFmtId="169" xfId="0" applyAlignment="1" applyBorder="1" applyFont="1" applyNumberFormat="1">
      <alignment horizontal="center"/>
    </xf>
    <xf borderId="35" fillId="29" fontId="5" numFmtId="4" xfId="0" applyAlignment="1" applyBorder="1" applyFont="1" applyNumberFormat="1">
      <alignment horizontal="center"/>
    </xf>
    <xf borderId="35" fillId="29" fontId="5" numFmtId="4" xfId="0" applyAlignment="1" applyBorder="1" applyFont="1" applyNumberFormat="1">
      <alignment horizontal="center" readingOrder="0"/>
    </xf>
    <xf borderId="35" fillId="30" fontId="5" numFmtId="168" xfId="0" applyBorder="1" applyFill="1" applyFont="1" applyNumberFormat="1"/>
    <xf borderId="35" fillId="30" fontId="5" numFmtId="0" xfId="0" applyAlignment="1" applyBorder="1" applyFont="1">
      <alignment horizontal="center"/>
    </xf>
    <xf borderId="35" fillId="30" fontId="5" numFmtId="4" xfId="0" applyAlignment="1" applyBorder="1" applyFont="1" applyNumberFormat="1">
      <alignment horizontal="center"/>
    </xf>
    <xf borderId="35" fillId="26" fontId="5" numFmtId="0" xfId="0" applyAlignment="1" applyBorder="1" applyFont="1">
      <alignment horizontal="center" readingOrder="0"/>
    </xf>
    <xf borderId="35" fillId="30" fontId="5" numFmtId="169" xfId="0" applyAlignment="1" applyBorder="1" applyFont="1" applyNumberFormat="1">
      <alignment horizontal="center"/>
    </xf>
    <xf borderId="35" fillId="30" fontId="5" numFmtId="4" xfId="0" applyAlignment="1" applyBorder="1" applyFont="1" applyNumberFormat="1">
      <alignment horizontal="center" readingOrder="0"/>
    </xf>
    <xf borderId="35" fillId="27" fontId="5" numFmtId="168" xfId="0" applyAlignment="1" applyBorder="1" applyFont="1" applyNumberFormat="1">
      <alignment horizontal="center"/>
    </xf>
    <xf borderId="35" fillId="30" fontId="5" numFmtId="168" xfId="0" applyAlignment="1" applyBorder="1" applyFont="1" applyNumberFormat="1">
      <alignment horizontal="center"/>
    </xf>
    <xf borderId="35" fillId="28" fontId="5" numFmtId="168" xfId="0" applyAlignment="1" applyBorder="1" applyFont="1" applyNumberFormat="1">
      <alignment horizontal="center"/>
    </xf>
    <xf borderId="35" fillId="26" fontId="5" numFmtId="168" xfId="0" applyAlignment="1" applyBorder="1" applyFont="1" applyNumberFormat="1">
      <alignment horizontal="center"/>
    </xf>
    <xf borderId="35" fillId="28" fontId="5" numFmtId="0" xfId="0" applyAlignment="1" applyBorder="1" applyFont="1">
      <alignment horizontal="center" readingOrder="0"/>
    </xf>
    <xf borderId="35" fillId="23" fontId="5" numFmtId="168" xfId="0" applyAlignment="1" applyBorder="1" applyFont="1" applyNumberFormat="1">
      <alignment horizontal="center"/>
    </xf>
    <xf borderId="35" fillId="28" fontId="5" numFmtId="1" xfId="0" applyAlignment="1" applyBorder="1" applyFont="1" applyNumberFormat="1">
      <alignment horizontal="center"/>
    </xf>
    <xf borderId="35" fillId="28" fontId="5" numFmtId="2" xfId="0" applyAlignment="1" applyBorder="1" applyFont="1" applyNumberFormat="1">
      <alignment horizontal="center"/>
    </xf>
    <xf borderId="35" fillId="30" fontId="5" numFmtId="1" xfId="0" applyAlignment="1" applyBorder="1" applyFont="1" applyNumberFormat="1">
      <alignment horizontal="center"/>
    </xf>
    <xf borderId="35" fillId="30" fontId="5" numFmtId="2" xfId="0" applyAlignment="1" applyBorder="1" applyFont="1" applyNumberFormat="1">
      <alignment horizontal="center"/>
    </xf>
    <xf borderId="35" fillId="23" fontId="5" numFmtId="1" xfId="0" applyAlignment="1" applyBorder="1" applyFont="1" applyNumberFormat="1">
      <alignment horizontal="center"/>
    </xf>
    <xf borderId="35" fillId="23" fontId="5" numFmtId="2" xfId="0" applyAlignment="1" applyBorder="1" applyFont="1" applyNumberFormat="1">
      <alignment horizontal="center"/>
    </xf>
    <xf borderId="35" fillId="26" fontId="5" numFmtId="1" xfId="0" applyAlignment="1" applyBorder="1" applyFont="1" applyNumberFormat="1">
      <alignment horizontal="center"/>
    </xf>
    <xf borderId="35" fillId="26" fontId="5" numFmtId="2" xfId="0" applyAlignment="1" applyBorder="1" applyFont="1" applyNumberFormat="1">
      <alignment horizontal="center"/>
    </xf>
    <xf borderId="35" fillId="27" fontId="5" numFmtId="1" xfId="0" applyAlignment="1" applyBorder="1" applyFont="1" applyNumberFormat="1">
      <alignment horizontal="center"/>
    </xf>
    <xf borderId="35" fillId="27" fontId="5" numFmtId="2" xfId="0" applyAlignment="1" applyBorder="1" applyFont="1" applyNumberFormat="1">
      <alignment horizontal="center"/>
    </xf>
    <xf borderId="35" fillId="23" fontId="5" numFmtId="2" xfId="0" applyAlignment="1" applyBorder="1" applyFont="1" applyNumberFormat="1">
      <alignment horizontal="center" readingOrder="0"/>
    </xf>
    <xf borderId="35" fillId="27" fontId="40" numFmtId="168" xfId="0" applyAlignment="1" applyBorder="1" applyFont="1" applyNumberFormat="1">
      <alignment shrinkToFit="0" wrapText="1"/>
    </xf>
    <xf borderId="35" fillId="27" fontId="40" numFmtId="0" xfId="0" applyAlignment="1" applyBorder="1" applyFont="1">
      <alignment horizontal="center" shrinkToFit="0" wrapText="1"/>
    </xf>
    <xf borderId="35" fillId="27" fontId="40" numFmtId="0" xfId="0" applyAlignment="1" applyBorder="1" applyFont="1">
      <alignment shrinkToFit="0" wrapText="1"/>
    </xf>
    <xf borderId="35" fillId="27" fontId="40" numFmtId="1" xfId="0" applyAlignment="1" applyBorder="1" applyFont="1" applyNumberFormat="1">
      <alignment shrinkToFit="0" wrapText="1"/>
    </xf>
    <xf borderId="35" fillId="27" fontId="40" numFmtId="2" xfId="0" applyAlignment="1" applyBorder="1" applyFont="1" applyNumberFormat="1">
      <alignment shrinkToFit="0" wrapText="1"/>
    </xf>
    <xf borderId="35" fillId="27" fontId="40" numFmtId="0" xfId="0" applyAlignment="1" applyBorder="1" applyFont="1">
      <alignment readingOrder="0" shrinkToFit="0" wrapText="1"/>
    </xf>
    <xf borderId="35" fillId="28" fontId="40" numFmtId="168" xfId="0" applyAlignment="1" applyBorder="1" applyFont="1" applyNumberFormat="1">
      <alignment shrinkToFit="0" wrapText="1"/>
    </xf>
    <xf borderId="35" fillId="28" fontId="40" numFmtId="0" xfId="0" applyAlignment="1" applyBorder="1" applyFont="1">
      <alignment shrinkToFit="0" wrapText="1"/>
    </xf>
    <xf borderId="35" fillId="28" fontId="40" numFmtId="0" xfId="0" applyBorder="1" applyFont="1"/>
    <xf borderId="35" fillId="28" fontId="40" numFmtId="0" xfId="0" applyAlignment="1" applyBorder="1" applyFont="1">
      <alignment horizontal="center" shrinkToFit="0" wrapText="1"/>
    </xf>
    <xf borderId="35" fillId="28" fontId="40" numFmtId="1" xfId="0" applyAlignment="1" applyBorder="1" applyFont="1" applyNumberFormat="1">
      <alignment horizontal="center" shrinkToFit="0" wrapText="1"/>
    </xf>
    <xf borderId="35" fillId="28" fontId="40" numFmtId="2" xfId="0" applyAlignment="1" applyBorder="1" applyFont="1" applyNumberFormat="1">
      <alignment shrinkToFit="0" wrapText="1"/>
    </xf>
    <xf borderId="35" fillId="23" fontId="40" numFmtId="168" xfId="0" applyAlignment="1" applyBorder="1" applyFont="1" applyNumberFormat="1">
      <alignment horizontal="center" shrinkToFit="0" wrapText="1"/>
    </xf>
    <xf borderId="35" fillId="23" fontId="40" numFmtId="0" xfId="0" applyAlignment="1" applyBorder="1" applyFont="1">
      <alignment horizontal="center" shrinkToFit="0" wrapText="1"/>
    </xf>
    <xf borderId="35" fillId="23" fontId="40" numFmtId="1" xfId="0" applyAlignment="1" applyBorder="1" applyFont="1" applyNumberFormat="1">
      <alignment horizontal="center" shrinkToFit="0" wrapText="1"/>
    </xf>
    <xf borderId="35" fillId="23" fontId="40" numFmtId="2" xfId="0" applyAlignment="1" applyBorder="1" applyFont="1" applyNumberFormat="1">
      <alignment horizontal="center" shrinkToFit="0" wrapText="1"/>
    </xf>
    <xf borderId="0" fillId="0" fontId="5" numFmtId="0" xfId="0" applyAlignment="1" applyFont="1">
      <alignment horizontal="center"/>
    </xf>
    <xf borderId="35" fillId="26" fontId="40" numFmtId="0" xfId="0" applyAlignment="1" applyBorder="1" applyFont="1">
      <alignment shrinkToFit="0" wrapText="1"/>
    </xf>
    <xf borderId="35" fillId="26" fontId="40" numFmtId="1" xfId="0" applyAlignment="1" applyBorder="1" applyFont="1" applyNumberFormat="1">
      <alignment shrinkToFit="0" wrapText="1"/>
    </xf>
    <xf borderId="35" fillId="26" fontId="40" numFmtId="2" xfId="0" applyAlignment="1" applyBorder="1" applyFont="1" applyNumberFormat="1">
      <alignment shrinkToFit="0" wrapText="1"/>
    </xf>
    <xf borderId="35" fillId="26" fontId="40" numFmtId="168" xfId="0" applyAlignment="1" applyBorder="1" applyFont="1" applyNumberFormat="1">
      <alignment shrinkToFit="0" wrapText="1"/>
    </xf>
    <xf borderId="35" fillId="23" fontId="40" numFmtId="0" xfId="0" applyAlignment="1" applyBorder="1" applyFont="1">
      <alignment shrinkToFit="0" wrapText="1"/>
    </xf>
    <xf borderId="35" fillId="23" fontId="40" numFmtId="1" xfId="0" applyAlignment="1" applyBorder="1" applyFont="1" applyNumberFormat="1">
      <alignment shrinkToFit="0" wrapText="1"/>
    </xf>
    <xf borderId="35" fillId="23" fontId="40" numFmtId="2" xfId="0" applyAlignment="1" applyBorder="1" applyFont="1" applyNumberFormat="1">
      <alignment shrinkToFit="0" wrapText="1"/>
    </xf>
    <xf borderId="35" fillId="26" fontId="40" numFmtId="0" xfId="0" applyAlignment="1" applyBorder="1" applyFont="1">
      <alignment horizontal="center" shrinkToFit="0" vertical="top" wrapText="1"/>
    </xf>
    <xf borderId="35" fillId="27" fontId="40" numFmtId="0" xfId="0" applyAlignment="1" applyBorder="1" applyFont="1">
      <alignment horizontal="center" readingOrder="0" shrinkToFit="0" vertical="top" wrapText="1"/>
    </xf>
    <xf borderId="0" fillId="0" fontId="40" numFmtId="0" xfId="0" applyFont="1"/>
    <xf borderId="0" fillId="0" fontId="5" numFmtId="168" xfId="0" applyFont="1" applyNumberFormat="1"/>
    <xf borderId="0" fillId="0" fontId="14" numFmtId="0" xfId="0" applyAlignment="1" applyFont="1">
      <alignment shrinkToFit="0" vertical="center" wrapText="1"/>
    </xf>
    <xf borderId="0" fillId="0" fontId="14" numFmtId="0" xfId="0" applyAlignment="1" applyFont="1">
      <alignment readingOrder="0" shrinkToFit="0" vertical="center" wrapText="1"/>
    </xf>
    <xf borderId="0" fillId="0" fontId="8" numFmtId="0" xfId="0" applyAlignment="1" applyFont="1">
      <alignment readingOrder="0"/>
    </xf>
    <xf borderId="0" fillId="0" fontId="15" numFmtId="164" xfId="0" applyFont="1" applyNumberFormat="1"/>
    <xf borderId="35" fillId="29" fontId="5" numFmtId="164" xfId="0" applyBorder="1" applyFont="1" applyNumberFormat="1"/>
    <xf borderId="0" fillId="0" fontId="5" numFmtId="170" xfId="0" applyFont="1" applyNumberFormat="1"/>
    <xf borderId="96" fillId="4" fontId="34" numFmtId="0" xfId="0" applyAlignment="1" applyBorder="1" applyFont="1">
      <alignment horizontal="center" readingOrder="0" vertical="center"/>
    </xf>
    <xf borderId="102" fillId="0" fontId="3" numFmtId="0" xfId="0" applyBorder="1" applyFont="1"/>
    <xf borderId="103" fillId="0" fontId="3" numFmtId="0" xfId="0" applyBorder="1" applyFont="1"/>
    <xf borderId="104" fillId="31" fontId="34" numFmtId="0" xfId="0" applyAlignment="1" applyBorder="1" applyFill="1" applyFont="1">
      <alignment horizontal="center"/>
    </xf>
    <xf borderId="105" fillId="0" fontId="3" numFmtId="0" xfId="0" applyBorder="1" applyFont="1"/>
    <xf borderId="5" fillId="0" fontId="3" numFmtId="0" xfId="0" applyBorder="1" applyFont="1"/>
    <xf borderId="0" fillId="0" fontId="31" numFmtId="0" xfId="0" applyAlignment="1" applyFont="1">
      <alignment horizontal="center" readingOrder="0"/>
    </xf>
    <xf borderId="97" fillId="15" fontId="41" numFmtId="0" xfId="0" applyAlignment="1" applyBorder="1" applyFont="1">
      <alignment horizontal="center" vertical="center"/>
    </xf>
    <xf borderId="106" fillId="32" fontId="12" numFmtId="0" xfId="0" applyAlignment="1" applyBorder="1" applyFill="1" applyFont="1">
      <alignment readingOrder="0"/>
    </xf>
    <xf borderId="73" fillId="32" fontId="12" numFmtId="0" xfId="0" applyAlignment="1" applyBorder="1" applyFont="1">
      <alignment readingOrder="0"/>
    </xf>
    <xf borderId="89" fillId="0" fontId="31" numFmtId="0" xfId="0" applyAlignment="1" applyBorder="1" applyFont="1">
      <alignment readingOrder="0" vertical="center"/>
    </xf>
    <xf borderId="89" fillId="0" fontId="42" numFmtId="3" xfId="0" applyAlignment="1" applyBorder="1" applyFont="1" applyNumberFormat="1">
      <alignment readingOrder="0"/>
    </xf>
    <xf borderId="84" fillId="0" fontId="42" numFmtId="3" xfId="0" applyAlignment="1" applyBorder="1" applyFont="1" applyNumberFormat="1">
      <alignment readingOrder="0"/>
    </xf>
    <xf borderId="84" fillId="0" fontId="42" numFmtId="3" xfId="0" applyBorder="1" applyFont="1" applyNumberFormat="1"/>
    <xf borderId="107" fillId="0" fontId="31" numFmtId="0" xfId="0" applyAlignment="1" applyBorder="1" applyFont="1">
      <alignment vertical="center"/>
    </xf>
    <xf borderId="20" fillId="0" fontId="26" numFmtId="0" xfId="0" applyBorder="1" applyFont="1"/>
    <xf borderId="107" fillId="0" fontId="38" numFmtId="0" xfId="0" applyBorder="1" applyFont="1"/>
    <xf borderId="20" fillId="0" fontId="43" numFmtId="3" xfId="0" applyAlignment="1" applyBorder="1" applyFont="1" applyNumberFormat="1">
      <alignment readingOrder="0"/>
    </xf>
    <xf borderId="84" fillId="0" fontId="42" numFmtId="0" xfId="0" applyBorder="1" applyFont="1"/>
    <xf borderId="107" fillId="0" fontId="38" numFmtId="0" xfId="0" applyAlignment="1" applyBorder="1" applyFont="1">
      <alignment readingOrder="0"/>
    </xf>
    <xf borderId="26" fillId="0" fontId="43" numFmtId="3" xfId="0" applyBorder="1" applyFont="1" applyNumberFormat="1"/>
    <xf borderId="26" fillId="0" fontId="43" numFmtId="3" xfId="0" applyAlignment="1" applyBorder="1" applyFont="1" applyNumberFormat="1">
      <alignment readingOrder="0"/>
    </xf>
    <xf borderId="20" fillId="0" fontId="43" numFmtId="3" xfId="0" applyBorder="1" applyFont="1" applyNumberFormat="1"/>
    <xf borderId="20" fillId="0" fontId="26" numFmtId="0" xfId="0" applyAlignment="1" applyBorder="1" applyFont="1">
      <alignment readingOrder="0"/>
    </xf>
    <xf borderId="108" fillId="21" fontId="42" numFmtId="0" xfId="0" applyBorder="1" applyFont="1"/>
    <xf borderId="13" fillId="21" fontId="26" numFmtId="0" xfId="0" applyBorder="1" applyFont="1"/>
    <xf borderId="109" fillId="21" fontId="42" numFmtId="3" xfId="0" applyBorder="1" applyFont="1" applyNumberFormat="1"/>
    <xf borderId="110" fillId="21" fontId="42" numFmtId="3" xfId="0" applyBorder="1" applyFont="1" applyNumberFormat="1"/>
    <xf borderId="37" fillId="22" fontId="41" numFmtId="0" xfId="0" applyAlignment="1" applyBorder="1" applyFont="1">
      <alignment horizontal="center"/>
    </xf>
    <xf borderId="111" fillId="0" fontId="3" numFmtId="0" xfId="0" applyBorder="1" applyFont="1"/>
    <xf borderId="84" fillId="0" fontId="8" numFmtId="0" xfId="0" applyBorder="1" applyFont="1"/>
    <xf borderId="84" fillId="0" fontId="18" numFmtId="3" xfId="0" applyAlignment="1" applyBorder="1" applyFont="1" applyNumberFormat="1">
      <alignment horizontal="right" vertical="bottom"/>
    </xf>
    <xf borderId="84" fillId="0" fontId="18" numFmtId="0" xfId="0" applyAlignment="1" applyBorder="1" applyFont="1">
      <alignment vertical="bottom"/>
    </xf>
    <xf borderId="84" fillId="0" fontId="44" numFmtId="3" xfId="0" applyBorder="1" applyFont="1" applyNumberFormat="1"/>
    <xf borderId="84" fillId="0" fontId="22" numFmtId="3" xfId="0" applyAlignment="1" applyBorder="1" applyFont="1" applyNumberFormat="1">
      <alignment horizontal="right" vertical="bottom"/>
    </xf>
    <xf borderId="42" fillId="21" fontId="42" numFmtId="0" xfId="0" applyBorder="1" applyFont="1"/>
    <xf borderId="112" fillId="21" fontId="26" numFmtId="0" xfId="0" applyBorder="1" applyFont="1"/>
    <xf borderId="113" fillId="21" fontId="42" numFmtId="3" xfId="0" applyBorder="1" applyFont="1" applyNumberFormat="1"/>
    <xf borderId="113" fillId="21" fontId="18" numFmtId="3" xfId="0" applyAlignment="1" applyBorder="1" applyFont="1" applyNumberFormat="1">
      <alignment horizontal="right" vertical="bottom"/>
    </xf>
    <xf borderId="0" fillId="0" fontId="45" numFmtId="0" xfId="0" applyAlignment="1" applyFont="1">
      <alignment readingOrder="0"/>
    </xf>
    <xf borderId="0" fillId="0" fontId="46" numFmtId="0" xfId="0" applyFont="1"/>
    <xf borderId="0" fillId="0" fontId="45" numFmtId="3" xfId="0" applyFont="1" applyNumberFormat="1"/>
    <xf borderId="0" fillId="0" fontId="34" numFmtId="0" xfId="0" applyAlignment="1" applyFont="1">
      <alignment readingOrder="0" shrinkToFit="0" vertical="top" wrapText="0"/>
    </xf>
    <xf borderId="0" fillId="0" fontId="47" numFmtId="0" xfId="0" applyAlignment="1" applyFont="1">
      <alignment shrinkToFit="0" vertical="top" wrapText="0"/>
    </xf>
    <xf borderId="114" fillId="0" fontId="34" numFmtId="0" xfId="0" applyAlignment="1" applyBorder="1" applyFont="1">
      <alignment readingOrder="0" shrinkToFit="0" vertical="top" wrapText="0"/>
    </xf>
    <xf borderId="114" fillId="0" fontId="3" numFmtId="0" xfId="0" applyBorder="1" applyFont="1"/>
    <xf borderId="1" fillId="0" fontId="42" numFmtId="0" xfId="0" applyAlignment="1" applyBorder="1" applyFont="1">
      <alignment horizontal="left" readingOrder="0" shrinkToFit="0" vertical="top" wrapText="0"/>
    </xf>
    <xf borderId="4" fillId="0" fontId="42" numFmtId="171" xfId="0" applyAlignment="1" applyBorder="1" applyFont="1" applyNumberFormat="1">
      <alignment horizontal="center" readingOrder="0" vertical="top"/>
    </xf>
    <xf borderId="4" fillId="0" fontId="44" numFmtId="171" xfId="0" applyAlignment="1" applyBorder="1" applyFont="1" applyNumberFormat="1">
      <alignment horizontal="center" readingOrder="0" vertical="top"/>
    </xf>
    <xf borderId="115" fillId="0" fontId="42" numFmtId="0" xfId="0" applyAlignment="1" applyBorder="1" applyFont="1">
      <alignment horizontal="center" readingOrder="0" shrinkToFit="0" vertical="top" wrapText="0"/>
    </xf>
    <xf borderId="4" fillId="0" fontId="42" numFmtId="0" xfId="0" applyAlignment="1" applyBorder="1" applyFont="1">
      <alignment horizontal="center" readingOrder="0" vertical="top"/>
    </xf>
    <xf borderId="4" fillId="0" fontId="44" numFmtId="0" xfId="0" applyAlignment="1" applyBorder="1" applyFont="1">
      <alignment horizontal="center" readingOrder="0" vertical="top"/>
    </xf>
    <xf borderId="115" fillId="33" fontId="48" numFmtId="0" xfId="0" applyAlignment="1" applyBorder="1" applyFill="1" applyFont="1">
      <alignment readingOrder="0" shrinkToFit="0" vertical="top" wrapText="0"/>
    </xf>
    <xf borderId="4" fillId="0" fontId="47" numFmtId="0" xfId="0" applyAlignment="1" applyBorder="1" applyFont="1">
      <alignment horizontal="right" shrinkToFit="0" vertical="top" wrapText="0"/>
    </xf>
    <xf borderId="4" fillId="0" fontId="47" numFmtId="0" xfId="0" applyAlignment="1" applyBorder="1" applyFont="1">
      <alignment shrinkToFit="0" vertical="top" wrapText="0"/>
    </xf>
    <xf borderId="32" fillId="0" fontId="42" numFmtId="0" xfId="0" applyAlignment="1" applyBorder="1" applyFont="1">
      <alignment readingOrder="0" shrinkToFit="0" vertical="top" wrapText="0"/>
    </xf>
    <xf borderId="4" fillId="0" fontId="42" numFmtId="0" xfId="0" applyAlignment="1" applyBorder="1" applyFont="1">
      <alignment horizontal="right" shrinkToFit="0" vertical="top" wrapText="0"/>
    </xf>
    <xf borderId="4" fillId="0" fontId="44" numFmtId="0" xfId="0" applyAlignment="1" applyBorder="1" applyFont="1">
      <alignment horizontal="right" shrinkToFit="0" vertical="top" wrapText="0"/>
    </xf>
    <xf borderId="4" fillId="0" fontId="42" numFmtId="0" xfId="0" applyAlignment="1" applyBorder="1" applyFont="1">
      <alignment horizontal="right" readingOrder="0" shrinkToFit="0" vertical="top" wrapText="0"/>
    </xf>
    <xf borderId="4" fillId="0" fontId="44" numFmtId="0" xfId="0" applyAlignment="1" applyBorder="1" applyFont="1">
      <alignment horizontal="right" readingOrder="0" shrinkToFit="0" vertical="top" wrapText="0"/>
    </xf>
    <xf borderId="32" fillId="0" fontId="43" numFmtId="0" xfId="0" applyAlignment="1" applyBorder="1" applyFont="1">
      <alignment horizontal="left" readingOrder="0" shrinkToFit="0" vertical="top" wrapText="0"/>
    </xf>
    <xf borderId="4" fillId="0" fontId="26" numFmtId="0" xfId="0" applyAlignment="1" applyBorder="1" applyFont="1">
      <alignment horizontal="right" readingOrder="0" shrinkToFit="0" vertical="top" wrapText="0"/>
    </xf>
    <xf borderId="4" fillId="0" fontId="43" numFmtId="0" xfId="0" applyAlignment="1" applyBorder="1" applyFont="1">
      <alignment horizontal="right" readingOrder="0" shrinkToFit="0" vertical="top" wrapText="0"/>
    </xf>
    <xf borderId="32" fillId="0" fontId="26" numFmtId="0" xfId="0" applyAlignment="1" applyBorder="1" applyFont="1">
      <alignment horizontal="left" readingOrder="0" shrinkToFit="0" vertical="top" wrapText="0"/>
    </xf>
    <xf borderId="1" fillId="34" fontId="42" numFmtId="0" xfId="0" applyAlignment="1" applyBorder="1" applyFill="1" applyFont="1">
      <alignment horizontal="right" readingOrder="0" shrinkToFit="0" vertical="top" wrapText="0"/>
    </xf>
    <xf borderId="30" fillId="33" fontId="48" numFmtId="0" xfId="0" applyAlignment="1" applyBorder="1" applyFont="1">
      <alignment readingOrder="0" shrinkToFit="0" vertical="top" wrapText="0"/>
    </xf>
    <xf borderId="0" fillId="0" fontId="42" numFmtId="0" xfId="0" applyAlignment="1" applyFont="1">
      <alignment readingOrder="0" shrinkToFit="0" vertical="top" wrapText="0"/>
    </xf>
    <xf borderId="0" fillId="0" fontId="43" numFmtId="0" xfId="0" applyAlignment="1" applyFont="1">
      <alignment horizontal="left" readingOrder="0" shrinkToFit="0" vertical="top" wrapText="0"/>
    </xf>
    <xf borderId="4" fillId="0" fontId="26" numFmtId="0" xfId="0" applyAlignment="1" applyBorder="1" applyFont="1">
      <alignment horizontal="right" shrinkToFit="0" vertical="top" wrapText="0"/>
    </xf>
    <xf borderId="4" fillId="0" fontId="43" numFmtId="0" xfId="0" applyAlignment="1" applyBorder="1" applyFont="1">
      <alignment horizontal="right" shrinkToFit="0" vertical="top" wrapText="0"/>
    </xf>
    <xf borderId="0" fillId="0" fontId="26" numFmtId="0" xfId="0" applyAlignment="1" applyFont="1">
      <alignment horizontal="left" readingOrder="0" shrinkToFit="0" vertical="top" wrapText="0"/>
    </xf>
    <xf borderId="0" fillId="34" fontId="42" numFmtId="0" xfId="0" applyAlignment="1" applyFont="1">
      <alignment horizontal="right" readingOrder="0" shrinkToFit="0" vertical="top" wrapText="0"/>
    </xf>
    <xf borderId="2" fillId="0" fontId="49" numFmtId="0" xfId="0" applyAlignment="1" applyBorder="1" applyFont="1">
      <alignment horizontal="right" readingOrder="0" shrinkToFit="0" vertical="top" wrapText="0"/>
    </xf>
    <xf borderId="4" fillId="0" fontId="49" numFmtId="0" xfId="0" applyAlignment="1" applyBorder="1" applyFont="1">
      <alignment horizontal="right" readingOrder="0" shrinkToFit="0" vertical="top" wrapText="0"/>
    </xf>
    <xf borderId="97" fillId="0" fontId="5" numFmtId="0" xfId="0" applyBorder="1" applyFont="1"/>
    <xf borderId="98" fillId="0" fontId="5" numFmtId="0" xfId="0" applyBorder="1" applyFont="1"/>
    <xf borderId="99" fillId="0" fontId="5" numFmtId="0" xfId="0" applyBorder="1" applyFont="1"/>
    <xf borderId="97" fillId="0" fontId="1" numFmtId="0" xfId="0" applyBorder="1" applyFont="1"/>
    <xf borderId="99" fillId="0" fontId="1" numFmtId="0" xfId="0" applyBorder="1" applyFont="1"/>
    <xf borderId="83" fillId="0" fontId="5" numFmtId="0" xfId="0" applyBorder="1" applyFont="1"/>
    <xf borderId="83" fillId="0" fontId="1" numFmtId="0" xfId="0" applyBorder="1" applyFont="1"/>
    <xf borderId="84" fillId="0" fontId="1" numFmtId="0" xfId="0" applyBorder="1" applyFont="1"/>
    <xf borderId="40" fillId="0" fontId="14" numFmtId="0" xfId="0" applyAlignment="1" applyBorder="1" applyFont="1">
      <alignment horizontal="center" vertical="center"/>
    </xf>
    <xf borderId="96" fillId="0" fontId="14" numFmtId="0" xfId="0" applyAlignment="1" applyBorder="1" applyFont="1">
      <alignment horizontal="center"/>
    </xf>
    <xf borderId="0" fillId="0" fontId="14" numFmtId="168" xfId="0" applyFont="1" applyNumberFormat="1"/>
    <xf borderId="0" fillId="0" fontId="14" numFmtId="0" xfId="0" applyAlignment="1" applyFont="1">
      <alignment horizontal="center"/>
    </xf>
    <xf borderId="96" fillId="0" fontId="6" numFmtId="0" xfId="0" applyAlignment="1" applyBorder="1" applyFont="1">
      <alignment horizontal="center"/>
    </xf>
    <xf borderId="30" fillId="0" fontId="14" numFmtId="0" xfId="0" applyAlignment="1" applyBorder="1" applyFont="1">
      <alignment horizontal="center"/>
    </xf>
    <xf borderId="85" fillId="0" fontId="14" numFmtId="0" xfId="0" applyBorder="1" applyFont="1"/>
    <xf borderId="85" fillId="0" fontId="14" numFmtId="170" xfId="0" applyAlignment="1" applyBorder="1" applyFont="1" applyNumberFormat="1">
      <alignment readingOrder="0"/>
    </xf>
    <xf borderId="0" fillId="0" fontId="24" numFmtId="170" xfId="0" applyFont="1" applyNumberFormat="1"/>
    <xf borderId="85" fillId="0" fontId="6" numFmtId="172" xfId="0" applyBorder="1" applyFont="1" applyNumberFormat="1"/>
    <xf borderId="85" fillId="0" fontId="6" numFmtId="172" xfId="0" applyAlignment="1" applyBorder="1" applyFont="1" applyNumberFormat="1">
      <alignment readingOrder="0"/>
    </xf>
    <xf borderId="85" fillId="0" fontId="24" numFmtId="173" xfId="0" applyAlignment="1" applyBorder="1" applyFont="1" applyNumberFormat="1">
      <alignment readingOrder="0"/>
    </xf>
    <xf borderId="85" fillId="0" fontId="24" numFmtId="173" xfId="0" applyBorder="1" applyFont="1" applyNumberFormat="1"/>
    <xf borderId="85" fillId="0" fontId="1" numFmtId="172" xfId="0" applyAlignment="1" applyBorder="1" applyFont="1" applyNumberFormat="1">
      <alignment readingOrder="0"/>
    </xf>
    <xf borderId="85" fillId="0" fontId="1" numFmtId="172" xfId="0" applyBorder="1" applyFont="1" applyNumberFormat="1"/>
    <xf borderId="85" fillId="0" fontId="14" numFmtId="173" xfId="0" applyBorder="1" applyFont="1" applyNumberFormat="1"/>
    <xf borderId="85" fillId="0" fontId="5" numFmtId="0" xfId="0" applyAlignment="1" applyBorder="1" applyFont="1">
      <alignment horizontal="left"/>
    </xf>
    <xf borderId="116" fillId="0" fontId="24" numFmtId="173" xfId="0" applyAlignment="1" applyBorder="1" applyFont="1" applyNumberFormat="1">
      <alignment readingOrder="0"/>
    </xf>
    <xf borderId="30" fillId="0" fontId="24" numFmtId="170" xfId="0" applyBorder="1" applyFont="1" applyNumberFormat="1"/>
    <xf borderId="116" fillId="0" fontId="1" numFmtId="172" xfId="0" applyAlignment="1" applyBorder="1" applyFont="1" applyNumberFormat="1">
      <alignment readingOrder="0"/>
    </xf>
    <xf borderId="85" fillId="0" fontId="14" numFmtId="0" xfId="0" applyAlignment="1" applyBorder="1" applyFont="1">
      <alignment shrinkToFit="0" wrapText="1"/>
    </xf>
    <xf borderId="85" fillId="0" fontId="14" numFmtId="173" xfId="0" applyAlignment="1" applyBorder="1" applyFont="1" applyNumberFormat="1">
      <alignment shrinkToFit="0" wrapText="1"/>
    </xf>
    <xf borderId="88" fillId="0" fontId="14" numFmtId="173" xfId="0" applyAlignment="1" applyBorder="1" applyFont="1" applyNumberFormat="1">
      <alignment readingOrder="0"/>
    </xf>
    <xf borderId="2" fillId="0" fontId="14" numFmtId="170" xfId="0" applyBorder="1" applyFont="1" applyNumberFormat="1"/>
    <xf borderId="85" fillId="0" fontId="6" numFmtId="172" xfId="0" applyAlignment="1" applyBorder="1" applyFont="1" applyNumberFormat="1">
      <alignment shrinkToFit="0" wrapText="1"/>
    </xf>
    <xf borderId="88" fillId="0" fontId="6" numFmtId="172" xfId="0" applyAlignment="1" applyBorder="1" applyFont="1" applyNumberFormat="1">
      <alignment readingOrder="0"/>
    </xf>
    <xf borderId="85" fillId="0" fontId="5" numFmtId="0" xfId="0" applyBorder="1" applyFont="1"/>
    <xf borderId="85" fillId="0" fontId="5" numFmtId="173" xfId="0" applyBorder="1" applyFont="1" applyNumberFormat="1"/>
    <xf borderId="85" fillId="0" fontId="50" numFmtId="0" xfId="0" applyAlignment="1" applyBorder="1" applyFont="1">
      <alignment horizontal="left"/>
    </xf>
    <xf borderId="85" fillId="0" fontId="51" numFmtId="173" xfId="0" applyAlignment="1" applyBorder="1" applyFont="1" applyNumberFormat="1">
      <alignment horizontal="left"/>
    </xf>
    <xf borderId="85" fillId="0" fontId="52" numFmtId="172" xfId="0" applyAlignment="1" applyBorder="1" applyFont="1" applyNumberFormat="1">
      <alignment horizontal="left"/>
    </xf>
    <xf borderId="85" fillId="0" fontId="14" numFmtId="0" xfId="0" applyAlignment="1" applyBorder="1" applyFont="1">
      <alignment horizontal="left"/>
    </xf>
    <xf borderId="85" fillId="0" fontId="14" numFmtId="173" xfId="0" applyAlignment="1" applyBorder="1" applyFont="1" applyNumberFormat="1">
      <alignment horizontal="left"/>
    </xf>
    <xf borderId="85" fillId="0" fontId="14" numFmtId="173" xfId="0" applyAlignment="1" applyBorder="1" applyFont="1" applyNumberFormat="1">
      <alignment readingOrder="0"/>
    </xf>
    <xf borderId="0" fillId="0" fontId="14" numFmtId="170" xfId="0" applyFont="1" applyNumberFormat="1"/>
    <xf borderId="85" fillId="0" fontId="6" numFmtId="172" xfId="0" applyAlignment="1" applyBorder="1" applyFont="1" applyNumberFormat="1">
      <alignment horizontal="left"/>
    </xf>
    <xf borderId="85" fillId="0" fontId="5" numFmtId="0" xfId="0" applyAlignment="1" applyBorder="1" applyFont="1">
      <alignment horizontal="left" readingOrder="0"/>
    </xf>
    <xf borderId="85" fillId="0" fontId="24" numFmtId="173" xfId="0" applyAlignment="1" applyBorder="1" applyFont="1" applyNumberFormat="1">
      <alignment readingOrder="0" shrinkToFit="0" wrapText="1"/>
    </xf>
    <xf borderId="117" fillId="35" fontId="53" numFmtId="0" xfId="0" applyAlignment="1" applyBorder="1" applyFill="1" applyFont="1">
      <alignment horizontal="left"/>
    </xf>
    <xf borderId="117" fillId="35" fontId="53" numFmtId="173" xfId="0" applyAlignment="1" applyBorder="1" applyFont="1" applyNumberFormat="1">
      <alignment readingOrder="0"/>
    </xf>
    <xf borderId="117" fillId="36" fontId="53" numFmtId="172" xfId="0" applyAlignment="1" applyBorder="1" applyFill="1" applyFont="1" applyNumberFormat="1">
      <alignment readingOrder="0"/>
    </xf>
    <xf borderId="117" fillId="36" fontId="53" numFmtId="172" xfId="0" applyBorder="1" applyFont="1" applyNumberFormat="1"/>
    <xf borderId="118" fillId="0" fontId="24" numFmtId="173" xfId="0" applyBorder="1" applyFont="1" applyNumberFormat="1"/>
    <xf borderId="118" fillId="0" fontId="1" numFmtId="172" xfId="0" applyBorder="1" applyFont="1" applyNumberFormat="1"/>
    <xf borderId="88" fillId="0" fontId="14" numFmtId="172" xfId="0" applyAlignment="1" applyBorder="1" applyFont="1" applyNumberFormat="1">
      <alignment readingOrder="0"/>
    </xf>
    <xf borderId="0" fillId="0" fontId="5" numFmtId="172" xfId="0" applyFont="1" applyNumberFormat="1"/>
    <xf borderId="85" fillId="0" fontId="14" numFmtId="172" xfId="0" applyBorder="1" applyFont="1" applyNumberFormat="1"/>
    <xf borderId="117" fillId="37" fontId="14" numFmtId="0" xfId="0" applyBorder="1" applyFill="1" applyFont="1"/>
    <xf borderId="117" fillId="37" fontId="14" numFmtId="173" xfId="0" applyBorder="1" applyFont="1" applyNumberFormat="1"/>
    <xf borderId="117" fillId="37" fontId="14" numFmtId="172" xfId="0" applyBorder="1" applyFont="1" applyNumberFormat="1"/>
    <xf borderId="119" fillId="0" fontId="14" numFmtId="170" xfId="0" applyBorder="1" applyFont="1" applyNumberFormat="1"/>
    <xf borderId="117" fillId="37" fontId="6" numFmtId="172" xfId="0" applyBorder="1" applyFont="1" applyNumberFormat="1"/>
    <xf borderId="0" fillId="0" fontId="5" numFmtId="173" xfId="0" applyFont="1" applyNumberFormat="1"/>
    <xf borderId="117" fillId="37" fontId="24" numFmtId="173" xfId="0" applyAlignment="1" applyBorder="1" applyFont="1" applyNumberFormat="1">
      <alignment readingOrder="0"/>
    </xf>
    <xf borderId="85" fillId="0" fontId="24" numFmtId="170" xfId="0" applyBorder="1" applyFont="1" applyNumberFormat="1"/>
    <xf borderId="117" fillId="37" fontId="1" numFmtId="172" xfId="0" applyAlignment="1" applyBorder="1" applyFont="1" applyNumberFormat="1">
      <alignment readingOrder="0"/>
    </xf>
    <xf borderId="84" fillId="0" fontId="24" numFmtId="170" xfId="0" applyBorder="1" applyFont="1" applyNumberFormat="1"/>
    <xf borderId="83" fillId="0" fontId="1" numFmtId="172" xfId="0" applyAlignment="1" applyBorder="1" applyFont="1" applyNumberFormat="1">
      <alignment readingOrder="0"/>
    </xf>
    <xf borderId="89" fillId="27" fontId="14" numFmtId="0" xfId="0" applyBorder="1" applyFont="1"/>
    <xf borderId="89" fillId="27" fontId="14" numFmtId="173" xfId="0" applyBorder="1" applyFont="1" applyNumberFormat="1"/>
    <xf borderId="101" fillId="0" fontId="14" numFmtId="170" xfId="0" applyBorder="1" applyFont="1" applyNumberFormat="1"/>
    <xf borderId="89" fillId="27" fontId="14" numFmtId="172" xfId="0" applyBorder="1" applyFont="1" applyNumberFormat="1"/>
    <xf borderId="46" fillId="0" fontId="6" numFmtId="172" xfId="0" applyBorder="1" applyFont="1" applyNumberFormat="1"/>
    <xf borderId="0" fillId="0" fontId="1" numFmtId="173" xfId="0" applyFont="1" applyNumberFormat="1"/>
    <xf borderId="0" fillId="0" fontId="6" numFmtId="173" xfId="0" applyFont="1" applyNumberFormat="1"/>
    <xf borderId="0" fillId="0" fontId="14" numFmtId="173" xfId="0" applyFont="1" applyNumberFormat="1"/>
    <xf borderId="35" fillId="19" fontId="14" numFmtId="0" xfId="0" applyBorder="1" applyFont="1"/>
    <xf borderId="35" fillId="19" fontId="5" numFmtId="174" xfId="0" applyBorder="1" applyFont="1" applyNumberFormat="1"/>
    <xf borderId="35" fillId="38" fontId="1" numFmtId="173" xfId="0" applyAlignment="1" applyBorder="1" applyFill="1" applyFont="1" applyNumberFormat="1">
      <alignment readingOrder="0"/>
    </xf>
    <xf borderId="0" fillId="0" fontId="5" numFmtId="174" xfId="0" applyFont="1" applyNumberFormat="1"/>
    <xf borderId="35" fillId="37" fontId="14" numFmtId="0" xfId="0" applyBorder="1" applyFont="1"/>
    <xf borderId="35" fillId="37" fontId="5" numFmtId="174" xfId="0" applyBorder="1" applyFont="1" applyNumberFormat="1"/>
    <xf borderId="35" fillId="34" fontId="1" numFmtId="173" xfId="0" applyAlignment="1" applyBorder="1" applyFont="1" applyNumberFormat="1">
      <alignment readingOrder="0"/>
    </xf>
    <xf borderId="0" fillId="0" fontId="1" numFmtId="173" xfId="0" applyAlignment="1" applyFont="1" applyNumberFormat="1">
      <alignment readingOrder="0"/>
    </xf>
    <xf borderId="0" fillId="0" fontId="15" numFmtId="0" xfId="0" applyFont="1"/>
    <xf borderId="4" fillId="0" fontId="54" numFmtId="0" xfId="0" applyBorder="1" applyFont="1"/>
    <xf borderId="4" fillId="0" fontId="5" numFmtId="0" xfId="0" applyBorder="1" applyFont="1"/>
    <xf borderId="4" fillId="0" fontId="14" numFmtId="168" xfId="0" applyBorder="1" applyFont="1" applyNumberFormat="1"/>
    <xf borderId="4" fillId="0" fontId="29" numFmtId="0" xfId="0" applyBorder="1" applyFont="1"/>
    <xf borderId="4" fillId="0" fontId="1" numFmtId="165" xfId="0" applyBorder="1" applyFont="1" applyNumberFormat="1"/>
    <xf borderId="4" fillId="0" fontId="6" numFmtId="165" xfId="0" applyBorder="1" applyFont="1" applyNumberFormat="1"/>
    <xf borderId="30" fillId="12" fontId="15" numFmtId="0" xfId="0" applyAlignment="1" applyBorder="1" applyFont="1">
      <alignment horizontal="center" readingOrder="0"/>
    </xf>
    <xf borderId="30" fillId="0" fontId="3" numFmtId="0" xfId="0" applyBorder="1" applyFont="1"/>
    <xf borderId="120" fillId="20" fontId="15" numFmtId="0" xfId="0" applyAlignment="1" applyBorder="1" applyFont="1">
      <alignment horizontal="center" shrinkToFit="0" vertical="center" wrapText="1"/>
    </xf>
    <xf borderId="120" fillId="20" fontId="15" numFmtId="0" xfId="0" applyAlignment="1" applyBorder="1" applyFont="1">
      <alignment horizontal="center" vertical="center"/>
    </xf>
    <xf borderId="121" fillId="20" fontId="15" numFmtId="0" xfId="0" applyAlignment="1" applyBorder="1" applyFont="1">
      <alignment horizontal="center" vertical="center"/>
    </xf>
    <xf borderId="121" fillId="20" fontId="15" numFmtId="0" xfId="0" applyAlignment="1" applyBorder="1" applyFont="1">
      <alignment horizontal="center" shrinkToFit="0" vertical="center" wrapText="1"/>
    </xf>
    <xf borderId="122" fillId="0" fontId="3" numFmtId="0" xfId="0" applyBorder="1" applyFont="1"/>
    <xf borderId="123" fillId="0" fontId="3" numFmtId="0" xfId="0" applyBorder="1" applyFont="1"/>
    <xf borderId="4" fillId="0" fontId="15" numFmtId="0" xfId="0" applyAlignment="1" applyBorder="1" applyFont="1">
      <alignment horizontal="center" vertical="center"/>
    </xf>
    <xf borderId="4" fillId="18" fontId="55" numFmtId="0" xfId="0" applyAlignment="1" applyBorder="1" applyFont="1">
      <alignment readingOrder="0" vertical="center"/>
    </xf>
    <xf borderId="1" fillId="0" fontId="5" numFmtId="0" xfId="0" applyAlignment="1" applyBorder="1" applyFont="1">
      <alignment readingOrder="0"/>
    </xf>
    <xf borderId="4" fillId="0" fontId="5" numFmtId="0" xfId="0" applyAlignment="1" applyBorder="1" applyFont="1">
      <alignment readingOrder="0"/>
    </xf>
    <xf borderId="4" fillId="0" fontId="55" numFmtId="0" xfId="0" applyAlignment="1" applyBorder="1" applyFont="1">
      <alignment readingOrder="0" vertical="center"/>
    </xf>
    <xf borderId="122" fillId="0" fontId="55" numFmtId="0" xfId="0" applyAlignment="1" applyBorder="1" applyFont="1">
      <alignment readingOrder="0" vertical="center"/>
    </xf>
    <xf borderId="122" fillId="0" fontId="55" numFmtId="0" xfId="0" applyAlignment="1" applyBorder="1" applyFont="1">
      <alignment vertical="center"/>
    </xf>
    <xf borderId="1" fillId="0" fontId="5" numFmtId="0" xfId="0" applyBorder="1" applyFont="1"/>
    <xf borderId="1" fillId="0" fontId="15" numFmtId="0" xfId="0" applyBorder="1" applyFont="1"/>
    <xf borderId="4" fillId="7" fontId="15" numFmtId="164" xfId="0" applyBorder="1" applyFont="1" applyNumberFormat="1"/>
    <xf borderId="35" fillId="7" fontId="56" numFmtId="49" xfId="0" applyAlignment="1" applyBorder="1" applyFont="1" applyNumberFormat="1">
      <alignment readingOrder="0" vertical="center"/>
    </xf>
    <xf borderId="4" fillId="0" fontId="15" numFmtId="0" xfId="0" applyBorder="1" applyFont="1"/>
    <xf borderId="4" fillId="0" fontId="5" numFmtId="164" xfId="0" applyBorder="1" applyFont="1" applyNumberFormat="1"/>
    <xf borderId="4" fillId="18" fontId="36" numFmtId="0" xfId="0" applyAlignment="1" applyBorder="1" applyFont="1">
      <alignment readingOrder="0" vertical="center"/>
    </xf>
    <xf borderId="4" fillId="0" fontId="56" numFmtId="49" xfId="0" applyAlignment="1" applyBorder="1" applyFont="1" applyNumberFormat="1">
      <alignment readingOrder="0" vertical="center"/>
    </xf>
    <xf borderId="4" fillId="0" fontId="5" numFmtId="164" xfId="0" applyAlignment="1" applyBorder="1" applyFont="1" applyNumberFormat="1">
      <alignment readingOrder="0" vertical="center"/>
    </xf>
    <xf borderId="0" fillId="0" fontId="57" numFmtId="0" xfId="0" applyAlignment="1" applyFont="1">
      <alignment readingOrder="0"/>
    </xf>
    <xf borderId="4" fillId="0" fontId="15" numFmtId="0" xfId="0" applyAlignment="1" applyBorder="1" applyFont="1">
      <alignment horizontal="center" readingOrder="0" vertical="center"/>
    </xf>
    <xf borderId="4" fillId="0" fontId="58" numFmtId="0" xfId="0" applyAlignment="1" applyBorder="1" applyFont="1">
      <alignment vertical="center"/>
    </xf>
    <xf borderId="4" fillId="0" fontId="56" numFmtId="49" xfId="0" applyAlignment="1" applyBorder="1" applyFont="1" applyNumberFormat="1">
      <alignment vertical="center"/>
    </xf>
    <xf borderId="4" fillId="7" fontId="15" numFmtId="164" xfId="0" applyAlignment="1" applyBorder="1" applyFont="1" applyNumberFormat="1">
      <alignment vertical="center"/>
    </xf>
    <xf borderId="35" fillId="7" fontId="56" numFmtId="49" xfId="0" applyAlignment="1" applyBorder="1" applyFont="1" applyNumberFormat="1">
      <alignment vertical="center"/>
    </xf>
    <xf borderId="4" fillId="7" fontId="5" numFmtId="164" xfId="0" applyAlignment="1" applyBorder="1" applyFont="1" applyNumberFormat="1">
      <alignment readingOrder="0"/>
    </xf>
    <xf borderId="4" fillId="0" fontId="5" numFmtId="164" xfId="0" applyAlignment="1" applyBorder="1" applyFont="1" applyNumberFormat="1">
      <alignment vertical="center"/>
    </xf>
    <xf borderId="4" fillId="0" fontId="5" numFmtId="164" xfId="0" applyAlignment="1" applyBorder="1" applyFont="1" applyNumberFormat="1">
      <alignment readingOrder="0"/>
    </xf>
    <xf borderId="124" fillId="4" fontId="15" numFmtId="0" xfId="0" applyBorder="1" applyFont="1"/>
    <xf borderId="13" fillId="4" fontId="15" numFmtId="164" xfId="0" applyBorder="1" applyFont="1" applyNumberFormat="1"/>
    <xf borderId="59" fillId="35" fontId="15" numFmtId="0" xfId="0" applyBorder="1" applyFont="1"/>
    <xf borderId="22" fillId="35" fontId="15" numFmtId="164" xfId="0" applyAlignment="1" applyBorder="1" applyFont="1" applyNumberFormat="1">
      <alignment readingOrder="0"/>
    </xf>
    <xf borderId="59" fillId="21" fontId="15" numFmtId="0" xfId="0" applyBorder="1" applyFont="1"/>
    <xf borderId="22" fillId="21" fontId="15" numFmtId="164" xfId="0" applyAlignment="1" applyBorder="1" applyFont="1" applyNumberFormat="1">
      <alignment readingOrder="0"/>
    </xf>
    <xf borderId="59" fillId="15" fontId="15" numFmtId="0" xfId="0" applyBorder="1" applyFont="1"/>
    <xf borderId="22" fillId="15" fontId="15" numFmtId="164" xfId="0" applyAlignment="1" applyBorder="1" applyFont="1" applyNumberFormat="1">
      <alignment readingOrder="0"/>
    </xf>
    <xf borderId="59" fillId="30" fontId="15" numFmtId="0" xfId="0" applyBorder="1" applyFont="1"/>
    <xf borderId="22" fillId="30" fontId="15" numFmtId="164" xfId="0" applyAlignment="1" applyBorder="1" applyFont="1" applyNumberFormat="1">
      <alignment readingOrder="0"/>
    </xf>
    <xf borderId="32" fillId="0" fontId="5" numFmtId="0" xfId="0" applyBorder="1" applyFont="1"/>
    <xf borderId="20" fillId="0" fontId="5" numFmtId="0" xfId="0" applyBorder="1" applyFont="1"/>
    <xf borderId="3" fillId="0" fontId="15" numFmtId="164" xfId="0" applyBorder="1" applyFont="1" applyNumberForma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8D8D8"/>
          <bgColor rgb="FFD8D8D8"/>
        </patternFill>
      </fill>
      <border/>
    </dxf>
    <dxf>
      <font/>
      <fill>
        <patternFill patternType="solid">
          <fgColor theme="0"/>
          <bgColor theme="0"/>
        </patternFill>
      </fill>
      <border/>
    </dxf>
  </dxfs>
  <tableStyles count="1">
    <tableStyle count="3" pivot="0" name="Segment_wise_Revenue-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1362075</xdr:colOff>
      <xdr:row>0</xdr:row>
      <xdr:rowOff>9525</xdr:rowOff>
    </xdr:from>
    <xdr:ext cx="13420725" cy="542925"/>
    <xdr:sp>
      <xdr:nvSpPr>
        <xdr:cNvPr id="3" name="Shape 3"/>
        <xdr:cNvSpPr/>
      </xdr:nvSpPr>
      <xdr:spPr>
        <a:xfrm>
          <a:off x="0" y="3518063"/>
          <a:ext cx="10692000" cy="523875"/>
        </a:xfrm>
        <a:prstGeom prst="rect">
          <a:avLst/>
        </a:prstGeom>
        <a:solidFill>
          <a:srgbClr val="0F4861"/>
        </a:solidFill>
        <a:ln cap="flat" cmpd="sng" w="19050">
          <a:solidFill>
            <a:srgbClr val="BFBFB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800">
              <a:solidFill>
                <a:schemeClr val="lt1"/>
              </a:solidFill>
              <a:latin typeface="Arial"/>
              <a:ea typeface="Arial"/>
              <a:cs typeface="Arial"/>
              <a:sym typeface="Arial"/>
            </a:rPr>
            <a:t>Statement of Cash Flows</a:t>
          </a:r>
          <a:endParaRPr sz="1400"/>
        </a:p>
      </xdr:txBody>
    </xdr:sp>
    <xdr:clientData fLocksWithSheet="0"/>
  </xdr:oneCellAnchor>
  <xdr:oneCellAnchor>
    <xdr:from>
      <xdr:col>5</xdr:col>
      <xdr:colOff>-19050</xdr:colOff>
      <xdr:row>1</xdr:row>
      <xdr:rowOff>0</xdr:rowOff>
    </xdr:from>
    <xdr:ext cx="38100" cy="466725"/>
    <xdr:sp>
      <xdr:nvSpPr>
        <xdr:cNvPr id="4" name="Shape 4"/>
        <xdr:cNvSpPr txBox="1"/>
      </xdr:nvSpPr>
      <xdr:spPr>
        <a:xfrm>
          <a:off x="5346000" y="3546638"/>
          <a:ext cx="0" cy="466725"/>
        </a:xfrm>
        <a:prstGeom prst="rect">
          <a:avLst/>
        </a:prstGeom>
        <a:solidFill>
          <a:schemeClr val="lt1"/>
        </a:solidFill>
        <a:ln cap="flat" cmpd="sng" w="9525">
          <a:solidFill>
            <a:srgbClr val="A5A5A5"/>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u="sng">
              <a:solidFill>
                <a:schemeClr val="dk1"/>
              </a:solidFill>
              <a:latin typeface="Arial"/>
              <a:ea typeface="Arial"/>
              <a:cs typeface="Arial"/>
              <a:sym typeface="Arial"/>
            </a:rPr>
            <a:t>TIP:</a:t>
          </a:r>
          <a:r>
            <a:rPr b="1" lang="en-US" sz="1100" u="sng">
              <a:solidFill>
                <a:schemeClr val="dk1"/>
              </a:solidFill>
              <a:latin typeface="Arial"/>
              <a:ea typeface="Arial"/>
              <a:cs typeface="Arial"/>
              <a:sym typeface="Arial"/>
            </a:rPr>
            <a:t> Sheet 2 (Example) Has a filled out example</a:t>
          </a:r>
          <a:endParaRPr sz="1100">
            <a:solidFill>
              <a:schemeClr val="dk1"/>
            </a:solidFill>
            <a:latin typeface="Arial"/>
            <a:ea typeface="Arial"/>
            <a:cs typeface="Arial"/>
            <a:sym typeface="Arial"/>
          </a:endParaRPr>
        </a:p>
        <a:p>
          <a:pPr indent="0" lvl="0" marL="0" rtl="0" algn="l">
            <a:spcBef>
              <a:spcPts val="0"/>
            </a:spcBef>
            <a:spcAft>
              <a:spcPts val="0"/>
            </a:spcAft>
            <a:buNone/>
          </a:pPr>
          <a:r>
            <a:t/>
          </a:r>
          <a:endParaRPr b="1" sz="1100" u="sng">
            <a:solidFill>
              <a:schemeClr val="dk1"/>
            </a:solidFill>
            <a:latin typeface="Arial"/>
            <a:ea typeface="Arial"/>
            <a:cs typeface="Arial"/>
            <a:sym typeface="Arial"/>
          </a:endParaRPr>
        </a:p>
        <a:p>
          <a:pPr indent="0" lvl="0" marL="0" rtl="0" algn="l">
            <a:spcBef>
              <a:spcPts val="0"/>
            </a:spcBef>
            <a:spcAft>
              <a:spcPts val="0"/>
            </a:spcAft>
            <a:buNone/>
          </a:pPr>
          <a:r>
            <a:rPr b="1" lang="en-US" sz="1100" u="sng">
              <a:solidFill>
                <a:schemeClr val="dk1"/>
              </a:solidFill>
              <a:latin typeface="Arial"/>
              <a:ea typeface="Arial"/>
              <a:cs typeface="Arial"/>
              <a:sym typeface="Arial"/>
            </a:rPr>
            <a:t>TIP: Hover over column &amp; Row headers for more instructions</a:t>
          </a:r>
          <a:endParaRPr b="1" sz="1100" u="sng">
            <a:solidFill>
              <a:schemeClr val="dk1"/>
            </a:solidFill>
            <a:latin typeface="Arial"/>
            <a:ea typeface="Arial"/>
            <a:cs typeface="Arial"/>
            <a:sym typeface="Arial"/>
          </a:endParaRPr>
        </a:p>
        <a:p>
          <a:pPr indent="0" lvl="0" marL="0" rtl="0" algn="l">
            <a:spcBef>
              <a:spcPts val="0"/>
            </a:spcBef>
            <a:spcAft>
              <a:spcPts val="0"/>
            </a:spcAft>
            <a:buNone/>
          </a:pPr>
          <a:r>
            <a:t/>
          </a:r>
          <a:endParaRPr sz="1100"/>
        </a:p>
      </xdr:txBody>
    </xdr:sp>
    <xdr:clientData fLocksWithSheet="0"/>
  </xdr:oneCellAnchor>
  <xdr:oneCellAnchor>
    <xdr:from>
      <xdr:col>5</xdr:col>
      <xdr:colOff>-19050</xdr:colOff>
      <xdr:row>4</xdr:row>
      <xdr:rowOff>19050</xdr:rowOff>
    </xdr:from>
    <xdr:ext cx="38100" cy="5429250"/>
    <xdr:sp>
      <xdr:nvSpPr>
        <xdr:cNvPr id="5" name="Shape 5"/>
        <xdr:cNvSpPr txBox="1"/>
      </xdr:nvSpPr>
      <xdr:spPr>
        <a:xfrm>
          <a:off x="5346000" y="1065375"/>
          <a:ext cx="0" cy="5429250"/>
        </a:xfrm>
        <a:prstGeom prst="rect">
          <a:avLst/>
        </a:prstGeom>
        <a:solidFill>
          <a:srgbClr val="F2CDED"/>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lang="en-US" sz="1000" u="sng">
              <a:latin typeface="Arial"/>
              <a:ea typeface="Arial"/>
              <a:cs typeface="Arial"/>
              <a:sym typeface="Arial"/>
            </a:rPr>
            <a:t>Notes on Preparation:</a:t>
          </a:r>
          <a:r>
            <a:rPr lang="en-US" sz="1000" u="sng">
              <a:latin typeface="Arial"/>
              <a:ea typeface="Arial"/>
              <a:cs typeface="Arial"/>
              <a:sym typeface="Arial"/>
            </a:rPr>
            <a:t> </a:t>
          </a:r>
          <a:endParaRPr sz="1000">
            <a:latin typeface="Arial"/>
            <a:ea typeface="Arial"/>
            <a:cs typeface="Arial"/>
            <a:sym typeface="Arial"/>
          </a:endParaRPr>
        </a:p>
        <a:p>
          <a:pPr indent="0" lvl="0" marL="0" rtl="0" algn="l">
            <a:spcBef>
              <a:spcPts val="0"/>
            </a:spcBef>
            <a:spcAft>
              <a:spcPts val="0"/>
            </a:spcAft>
            <a:buNone/>
          </a:pPr>
          <a:r>
            <a:rPr b="1" lang="en-US" sz="1000">
              <a:latin typeface="Arial"/>
              <a:ea typeface="Arial"/>
              <a:cs typeface="Arial"/>
              <a:sym typeface="Arial"/>
            </a:rPr>
            <a:t>Note:</a:t>
          </a:r>
          <a:r>
            <a:rPr lang="en-US" sz="1000">
              <a:latin typeface="Arial"/>
              <a:ea typeface="Arial"/>
              <a:cs typeface="Arial"/>
              <a:sym typeface="Arial"/>
            </a:rPr>
            <a:t> You may want to print this information to use as reference later. To delete these instructions, click the border of this text box and then press the DELETE key.</a:t>
          </a:r>
          <a:endParaRPr sz="1400"/>
        </a:p>
        <a:p>
          <a:pPr indent="0" lvl="0" marL="0" rtl="0" algn="l">
            <a:spcBef>
              <a:spcPts val="0"/>
            </a:spcBef>
            <a:spcAft>
              <a:spcPts val="0"/>
            </a:spcAft>
            <a:buNone/>
          </a:pPr>
          <a:r>
            <a:t/>
          </a:r>
          <a:endParaRPr sz="1000">
            <a:latin typeface="Arial"/>
            <a:ea typeface="Arial"/>
            <a:cs typeface="Arial"/>
            <a:sym typeface="Arial"/>
          </a:endParaRPr>
        </a:p>
        <a:p>
          <a:pPr indent="0" lvl="0" marL="0" rtl="0" algn="l">
            <a:spcBef>
              <a:spcPts val="0"/>
            </a:spcBef>
            <a:spcAft>
              <a:spcPts val="0"/>
            </a:spcAft>
            <a:buNone/>
          </a:pPr>
          <a:r>
            <a:rPr b="1" lang="en-US" sz="1000">
              <a:latin typeface="Arial"/>
              <a:ea typeface="Arial"/>
              <a:cs typeface="Arial"/>
              <a:sym typeface="Arial"/>
            </a:rPr>
            <a:t>Note: </a:t>
          </a:r>
          <a:r>
            <a:rPr lang="en-US" sz="1000">
              <a:latin typeface="Arial"/>
              <a:ea typeface="Arial"/>
              <a:cs typeface="Arial"/>
              <a:sym typeface="Arial"/>
            </a:rPr>
            <a:t>Understanding a company's Cash Flows is critical to managing cash in order to ensure a positive cash position is sustained. It is important to understand the key cash drivers for your company's operations as well as understanding how the Current Period compares to the Prior Period. This template is intended to help you outline those drivers and compare the Current Period to the Prior Period in detail.</a:t>
          </a:r>
          <a:endParaRPr sz="1400"/>
        </a:p>
        <a:p>
          <a:pPr indent="0" lvl="0" marL="0" rtl="0" algn="l">
            <a:spcBef>
              <a:spcPts val="0"/>
            </a:spcBef>
            <a:spcAft>
              <a:spcPts val="0"/>
            </a:spcAft>
            <a:buNone/>
          </a:pPr>
          <a:r>
            <a:t/>
          </a:r>
          <a:endParaRPr sz="1000">
            <a:latin typeface="Arial"/>
            <a:ea typeface="Arial"/>
            <a:cs typeface="Arial"/>
            <a:sym typeface="Arial"/>
          </a:endParaRPr>
        </a:p>
        <a:p>
          <a:pPr indent="0" lvl="0" marL="0" rtl="0" algn="l">
            <a:spcBef>
              <a:spcPts val="0"/>
            </a:spcBef>
            <a:spcAft>
              <a:spcPts val="0"/>
            </a:spcAft>
            <a:buNone/>
          </a:pPr>
          <a:r>
            <a:rPr b="1" lang="en-US" sz="1000">
              <a:latin typeface="Arial"/>
              <a:ea typeface="Arial"/>
              <a:cs typeface="Arial"/>
              <a:sym typeface="Arial"/>
            </a:rPr>
            <a:t>Note: </a:t>
          </a:r>
          <a:r>
            <a:rPr lang="en-US" sz="1000">
              <a:latin typeface="Arial"/>
              <a:ea typeface="Arial"/>
              <a:cs typeface="Arial"/>
              <a:sym typeface="Arial"/>
            </a:rPr>
            <a:t>Enter data into cells beneath column headers and to the right of rows headers that contain comments (red triangle in upper right corner of cell). Explanations of what type of data should be entered into each row are outlined in the row header's comments.</a:t>
          </a:r>
          <a:endParaRPr sz="1400"/>
        </a:p>
        <a:p>
          <a:pPr indent="0" lvl="0" marL="0" rtl="0" algn="l">
            <a:spcBef>
              <a:spcPts val="0"/>
            </a:spcBef>
            <a:spcAft>
              <a:spcPts val="0"/>
            </a:spcAft>
            <a:buNone/>
          </a:pPr>
          <a:r>
            <a:t/>
          </a:r>
          <a:endParaRPr sz="1000">
            <a:latin typeface="Arial"/>
            <a:ea typeface="Arial"/>
            <a:cs typeface="Arial"/>
            <a:sym typeface="Arial"/>
          </a:endParaRPr>
        </a:p>
        <a:p>
          <a:pPr indent="0" lvl="0" marL="0" rtl="0" algn="l">
            <a:spcBef>
              <a:spcPts val="0"/>
            </a:spcBef>
            <a:spcAft>
              <a:spcPts val="0"/>
            </a:spcAft>
            <a:buNone/>
          </a:pPr>
          <a:r>
            <a:rPr b="1" lang="en-US" sz="1000" u="sng">
              <a:latin typeface="Arial"/>
              <a:ea typeface="Arial"/>
              <a:cs typeface="Arial"/>
              <a:sym typeface="Arial"/>
            </a:rPr>
            <a:t>Steps for Preparation:</a:t>
          </a:r>
          <a:endParaRPr sz="1000">
            <a:latin typeface="Arial"/>
            <a:ea typeface="Arial"/>
            <a:cs typeface="Arial"/>
            <a:sym typeface="Arial"/>
          </a:endParaRPr>
        </a:p>
        <a:p>
          <a:pPr indent="0" lvl="0" marL="0" rtl="0" algn="l">
            <a:spcBef>
              <a:spcPts val="0"/>
            </a:spcBef>
            <a:spcAft>
              <a:spcPts val="0"/>
            </a:spcAft>
            <a:buNone/>
          </a:pPr>
          <a:r>
            <a:rPr b="1" lang="en-US" sz="1000">
              <a:latin typeface="Arial"/>
              <a:ea typeface="Arial"/>
              <a:cs typeface="Arial"/>
              <a:sym typeface="Arial"/>
            </a:rPr>
            <a:t>Step 1:  </a:t>
          </a:r>
          <a:r>
            <a:rPr lang="en-US" sz="1000">
              <a:latin typeface="Arial"/>
              <a:ea typeface="Arial"/>
              <a:cs typeface="Arial"/>
              <a:sym typeface="Arial"/>
            </a:rPr>
            <a:t>Enter your Company’s name and the Date all figures are reported as of in the report header.</a:t>
          </a:r>
          <a:endParaRPr sz="1400"/>
        </a:p>
        <a:p>
          <a:pPr indent="0" lvl="0" marL="0" rtl="0" algn="l">
            <a:spcBef>
              <a:spcPts val="0"/>
            </a:spcBef>
            <a:spcAft>
              <a:spcPts val="0"/>
            </a:spcAft>
            <a:buNone/>
          </a:pPr>
          <a:r>
            <a:t/>
          </a:r>
          <a:endParaRPr sz="1000">
            <a:latin typeface="Arial"/>
            <a:ea typeface="Arial"/>
            <a:cs typeface="Arial"/>
            <a:sym typeface="Arial"/>
          </a:endParaRPr>
        </a:p>
        <a:p>
          <a:pPr indent="0" lvl="0" marL="0" rtl="0" algn="l">
            <a:spcBef>
              <a:spcPts val="0"/>
            </a:spcBef>
            <a:spcAft>
              <a:spcPts val="0"/>
            </a:spcAft>
            <a:buNone/>
          </a:pPr>
          <a:r>
            <a:rPr b="1" lang="en-US" sz="1000">
              <a:latin typeface="Arial"/>
              <a:ea typeface="Arial"/>
              <a:cs typeface="Arial"/>
              <a:sym typeface="Arial"/>
            </a:rPr>
            <a:t>Step 2:  </a:t>
          </a:r>
          <a:r>
            <a:rPr lang="en-US" sz="1000">
              <a:latin typeface="Arial"/>
              <a:ea typeface="Arial"/>
              <a:cs typeface="Arial"/>
              <a:sym typeface="Arial"/>
            </a:rPr>
            <a:t>Enter the ‘Start Date to End Date’ as MM/DD/YYYY in the Current Period and Prior Period column headers. Please note that for the best comparison to the Current Period, the Prior Period time frame should cover the same number of days as the Current Period. Typically, the prior period is the same timeframe but for the previous year. However, you can use whatever timeframe you would like to compare the Current Period to, such as the previous quarter or month.</a:t>
          </a:r>
          <a:r>
            <a:rPr b="1" lang="en-US" sz="1000" u="sng">
              <a:latin typeface="Arial"/>
              <a:ea typeface="Arial"/>
              <a:cs typeface="Arial"/>
              <a:sym typeface="Arial"/>
            </a:rPr>
            <a:t> </a:t>
          </a:r>
          <a:endParaRPr sz="1400"/>
        </a:p>
        <a:p>
          <a:pPr indent="0" lvl="0" marL="0" rtl="0" algn="l">
            <a:spcBef>
              <a:spcPts val="0"/>
            </a:spcBef>
            <a:spcAft>
              <a:spcPts val="0"/>
            </a:spcAft>
            <a:buNone/>
          </a:pPr>
          <a:r>
            <a:t/>
          </a:r>
          <a:endParaRPr sz="1000">
            <a:latin typeface="Arial"/>
            <a:ea typeface="Arial"/>
            <a:cs typeface="Arial"/>
            <a:sym typeface="Arial"/>
          </a:endParaRPr>
        </a:p>
        <a:p>
          <a:pPr indent="0" lvl="0" marL="0" rtl="0" algn="l">
            <a:spcBef>
              <a:spcPts val="0"/>
            </a:spcBef>
            <a:spcAft>
              <a:spcPts val="0"/>
            </a:spcAft>
            <a:buNone/>
          </a:pPr>
          <a:r>
            <a:rPr b="1" lang="en-US" sz="1000">
              <a:latin typeface="Arial"/>
              <a:ea typeface="Arial"/>
              <a:cs typeface="Arial"/>
              <a:sym typeface="Arial"/>
            </a:rPr>
            <a:t>Step 3:  </a:t>
          </a:r>
          <a:r>
            <a:rPr lang="en-US" sz="1000">
              <a:latin typeface="Arial"/>
              <a:ea typeface="Arial"/>
              <a:cs typeface="Arial"/>
              <a:sym typeface="Arial"/>
            </a:rPr>
            <a:t>Enter the </a:t>
          </a:r>
          <a:r>
            <a:rPr b="1" lang="en-US" sz="1000">
              <a:latin typeface="Arial"/>
              <a:ea typeface="Arial"/>
              <a:cs typeface="Arial"/>
              <a:sym typeface="Arial"/>
            </a:rPr>
            <a:t>BEGINNING CASH ON HAND</a:t>
          </a:r>
          <a:r>
            <a:rPr lang="en-US" sz="1000">
              <a:latin typeface="Arial"/>
              <a:ea typeface="Arial"/>
              <a:cs typeface="Arial"/>
              <a:sym typeface="Arial"/>
            </a:rPr>
            <a:t> for the Current and Prior Periods.</a:t>
          </a:r>
          <a:endParaRPr sz="1400"/>
        </a:p>
        <a:p>
          <a:pPr indent="0" lvl="0" marL="0" rtl="0" algn="l">
            <a:spcBef>
              <a:spcPts val="0"/>
            </a:spcBef>
            <a:spcAft>
              <a:spcPts val="0"/>
            </a:spcAft>
            <a:buNone/>
          </a:pPr>
          <a:r>
            <a:t/>
          </a:r>
          <a:endParaRPr sz="1000">
            <a:latin typeface="Arial"/>
            <a:ea typeface="Arial"/>
            <a:cs typeface="Arial"/>
            <a:sym typeface="Arial"/>
          </a:endParaRPr>
        </a:p>
        <a:p>
          <a:pPr indent="0" lvl="0" marL="0" rtl="0" algn="l">
            <a:spcBef>
              <a:spcPts val="0"/>
            </a:spcBef>
            <a:spcAft>
              <a:spcPts val="0"/>
            </a:spcAft>
            <a:buNone/>
          </a:pPr>
          <a:r>
            <a:rPr b="1" lang="en-US" sz="1000">
              <a:latin typeface="Arial"/>
              <a:ea typeface="Arial"/>
              <a:cs typeface="Arial"/>
              <a:sym typeface="Arial"/>
            </a:rPr>
            <a:t>Step 4:  </a:t>
          </a:r>
          <a:r>
            <a:rPr lang="en-US" sz="1000">
              <a:latin typeface="Arial"/>
              <a:ea typeface="Arial"/>
              <a:cs typeface="Arial"/>
              <a:sym typeface="Arial"/>
            </a:rPr>
            <a:t>Enter the expected cash receipts for each line item and for the Current and Prior Periods. </a:t>
          </a:r>
          <a:endParaRPr sz="1400"/>
        </a:p>
        <a:p>
          <a:pPr indent="0" lvl="0" marL="0" rtl="0" algn="l">
            <a:spcBef>
              <a:spcPts val="0"/>
            </a:spcBef>
            <a:spcAft>
              <a:spcPts val="0"/>
            </a:spcAft>
            <a:buNone/>
          </a:pPr>
          <a:r>
            <a:t/>
          </a:r>
          <a:endParaRPr sz="1000">
            <a:latin typeface="Arial"/>
            <a:ea typeface="Arial"/>
            <a:cs typeface="Arial"/>
            <a:sym typeface="Arial"/>
          </a:endParaRPr>
        </a:p>
        <a:p>
          <a:pPr indent="0" lvl="0" marL="0" rtl="0" algn="l">
            <a:spcBef>
              <a:spcPts val="0"/>
            </a:spcBef>
            <a:spcAft>
              <a:spcPts val="0"/>
            </a:spcAft>
            <a:buNone/>
          </a:pPr>
          <a:r>
            <a:rPr b="1" lang="en-US" sz="1000">
              <a:latin typeface="Arial"/>
              <a:ea typeface="Arial"/>
              <a:cs typeface="Arial"/>
              <a:sym typeface="Arial"/>
            </a:rPr>
            <a:t>Step 5:  </a:t>
          </a:r>
          <a:r>
            <a:rPr lang="en-US" sz="1000">
              <a:latin typeface="Arial"/>
              <a:ea typeface="Arial"/>
              <a:cs typeface="Arial"/>
              <a:sym typeface="Arial"/>
            </a:rPr>
            <a:t>Enter the expected cash payments for each line item and for the Current and Prior Periods.</a:t>
          </a:r>
          <a:endParaRPr sz="1400"/>
        </a:p>
        <a:p>
          <a:pPr indent="0" lvl="0" marL="0" rtl="0" algn="l">
            <a:spcBef>
              <a:spcPts val="0"/>
            </a:spcBef>
            <a:spcAft>
              <a:spcPts val="0"/>
            </a:spcAft>
            <a:buNone/>
          </a:pPr>
          <a:r>
            <a:t/>
          </a:r>
          <a:endParaRPr sz="1000">
            <a:latin typeface="Arial"/>
            <a:ea typeface="Arial"/>
            <a:cs typeface="Arial"/>
            <a:sym typeface="Arial"/>
          </a:endParaRPr>
        </a:p>
        <a:p>
          <a:pPr indent="0" lvl="0" marL="0" rtl="0" algn="l">
            <a:spcBef>
              <a:spcPts val="0"/>
            </a:spcBef>
            <a:spcAft>
              <a:spcPts val="0"/>
            </a:spcAft>
            <a:buNone/>
          </a:pPr>
          <a:r>
            <a:rPr b="1" lang="en-US" sz="1000">
              <a:latin typeface="Arial"/>
              <a:ea typeface="Arial"/>
              <a:cs typeface="Arial"/>
              <a:sym typeface="Arial"/>
            </a:rPr>
            <a:t>Note:  </a:t>
          </a:r>
          <a:r>
            <a:rPr lang="en-US" sz="1000">
              <a:latin typeface="Arial"/>
              <a:ea typeface="Arial"/>
              <a:cs typeface="Arial"/>
              <a:sym typeface="Arial"/>
            </a:rPr>
            <a:t>The ending cash balance (Cash Position) will automatically calculate based on the imbedded formulas and the figures you have entered.</a:t>
          </a:r>
          <a:endParaRPr sz="1400"/>
        </a:p>
        <a:p>
          <a:pPr indent="0" lvl="0" marL="0" rtl="0" algn="l">
            <a:spcBef>
              <a:spcPts val="0"/>
            </a:spcBef>
            <a:spcAft>
              <a:spcPts val="0"/>
            </a:spcAft>
            <a:buNone/>
          </a:pPr>
          <a:r>
            <a:t/>
          </a:r>
          <a:endParaRPr sz="1000">
            <a:latin typeface="Arial"/>
            <a:ea typeface="Arial"/>
            <a:cs typeface="Arial"/>
            <a:sym typeface="Arial"/>
          </a:endParaRPr>
        </a:p>
        <a:p>
          <a:pPr indent="0" lvl="0" marL="0" rtl="0" algn="l">
            <a:spcBef>
              <a:spcPts val="0"/>
            </a:spcBef>
            <a:spcAft>
              <a:spcPts val="0"/>
            </a:spcAft>
            <a:buNone/>
          </a:pPr>
          <a:r>
            <a:rPr b="1" lang="en-US" sz="1000">
              <a:latin typeface="Arial"/>
              <a:ea typeface="Arial"/>
              <a:cs typeface="Arial"/>
              <a:sym typeface="Arial"/>
            </a:rPr>
            <a:t>Step 6:  </a:t>
          </a:r>
          <a:r>
            <a:rPr lang="en-US" sz="1000">
              <a:latin typeface="Arial"/>
              <a:ea typeface="Arial"/>
              <a:cs typeface="Arial"/>
              <a:sym typeface="Arial"/>
            </a:rPr>
            <a:t>If additional rows are required in order to best reflect your company, click on a Column A cell below the row you would like to add and right click your mouse, click Insert, select Entire Row and click OK (repeat as many times as necessary in order to add multiple rows). Then copy any existing row into the newly inserted rows by selecting an entire previously existing single row (click on the row number to the left of Column A), click the right mouse button and select Copy and then highlight the Row numbers for the rows just added, then right click the mouse again and select Paste (be sure the mouse pointer is located on the highlighted range). Repeat as necessary. Overwrite the Row headers with the description you are adding.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H17" displayName="Table_1" name="Table_1" id="1">
  <tableColumns count="8">
    <tableColumn name="Month" id="1"/>
    <tableColumn name="Morning Glory" id="2"/>
    <tableColumn name="Al Fresco" id="3"/>
    <tableColumn name="Sunset Soiree" id="4"/>
    <tableColumn name="Studio" id="5"/>
    <tableColumn name="Other Income" id="6"/>
    <tableColumn name="Total" id="7"/>
    <tableColumn name="Percentage" id="8"/>
  </tableColumns>
  <tableStyleInfo name="Segment_wise_Revenu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mbria"/>
        <a:ea typeface="Cambria"/>
        <a:cs typeface="Cambria"/>
      </a:majorFont>
      <a:minorFont>
        <a:latin typeface="Cambria"/>
        <a:ea typeface="Cambria"/>
        <a:cs typeface="Cambr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2.xml"/><Relationship Id="rId3"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hyperlink" Target="mailto:akshatha@thotahospitality.com" TargetMode="External"/><Relationship Id="rId2" Type="http://schemas.openxmlformats.org/officeDocument/2006/relationships/hyperlink" Target="mailto:akshatha@thotahospitality.com" TargetMode="External"/><Relationship Id="rId3" Type="http://schemas.openxmlformats.org/officeDocument/2006/relationships/hyperlink" Target="mailto:akshatha@thotahospitality.com"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fitToPage="1"/>
  </sheetPr>
  <sheetViews>
    <sheetView workbookViewId="0"/>
  </sheetViews>
  <sheetFormatPr customHeight="1" defaultColWidth="12.63" defaultRowHeight="15.0"/>
  <cols>
    <col customWidth="1" min="1" max="1" width="8.63"/>
    <col customWidth="1" min="2" max="2" width="40.13"/>
    <col customWidth="1" min="3" max="5" width="12.63"/>
    <col customWidth="1" min="6" max="6" width="20.75"/>
    <col customWidth="1" min="7" max="7" width="12.63"/>
    <col customWidth="1" min="8" max="9" width="5.75"/>
    <col customWidth="1" min="10" max="20" width="8.63"/>
  </cols>
  <sheetData>
    <row r="1" ht="14.25" customHeight="1">
      <c r="B1" s="1"/>
      <c r="C1" s="1"/>
      <c r="D1" s="1"/>
      <c r="E1" s="1"/>
      <c r="F1" s="1"/>
    </row>
    <row r="2" ht="14.25" customHeight="1">
      <c r="B2" s="2" t="s">
        <v>0</v>
      </c>
      <c r="C2" s="3"/>
      <c r="D2" s="3"/>
      <c r="E2" s="3"/>
      <c r="F2" s="3"/>
      <c r="G2" s="4"/>
    </row>
    <row r="3" ht="14.25" customHeight="1">
      <c r="B3" s="5" t="s">
        <v>1</v>
      </c>
      <c r="C3" s="3"/>
      <c r="D3" s="3"/>
      <c r="E3" s="3"/>
      <c r="F3" s="3"/>
      <c r="G3" s="4"/>
    </row>
    <row r="4" ht="28.5" customHeight="1">
      <c r="A4" s="6"/>
      <c r="B4" s="7" t="s">
        <v>2</v>
      </c>
      <c r="C4" s="8" t="s">
        <v>3</v>
      </c>
      <c r="D4" s="3"/>
      <c r="E4" s="4"/>
      <c r="F4" s="9" t="s">
        <v>4</v>
      </c>
      <c r="G4" s="10" t="s">
        <v>5</v>
      </c>
      <c r="H4" s="6"/>
      <c r="I4" s="6"/>
      <c r="J4" s="6"/>
      <c r="K4" s="6"/>
      <c r="L4" s="6"/>
      <c r="M4" s="6"/>
      <c r="N4" s="6"/>
      <c r="O4" s="6"/>
      <c r="P4" s="6"/>
      <c r="Q4" s="6"/>
      <c r="R4" s="6"/>
      <c r="S4" s="6"/>
      <c r="T4" s="6"/>
    </row>
    <row r="5" ht="14.25" customHeight="1">
      <c r="A5" s="11"/>
      <c r="B5" s="7"/>
      <c r="C5" s="7" t="s">
        <v>6</v>
      </c>
      <c r="D5" s="7" t="s">
        <v>7</v>
      </c>
      <c r="E5" s="7" t="s">
        <v>8</v>
      </c>
      <c r="F5" s="12" t="s">
        <v>9</v>
      </c>
      <c r="G5" s="7"/>
      <c r="H5" s="11"/>
      <c r="I5" s="11"/>
      <c r="J5" s="11"/>
      <c r="K5" s="11"/>
      <c r="L5" s="11"/>
      <c r="M5" s="11"/>
      <c r="N5" s="11"/>
      <c r="O5" s="11"/>
      <c r="P5" s="11"/>
      <c r="Q5" s="11"/>
      <c r="R5" s="11"/>
      <c r="S5" s="11"/>
      <c r="T5" s="11"/>
    </row>
    <row r="6" ht="14.25" customHeight="1">
      <c r="B6" s="13" t="s">
        <v>10</v>
      </c>
      <c r="C6" s="14">
        <f>sum('P&amp;L Detailed'!B5:D7)</f>
        <v>2696923</v>
      </c>
      <c r="D6" s="14">
        <f>sum('P&amp;L Detailed'!E5:G7)</f>
        <v>2645548</v>
      </c>
      <c r="E6" s="14">
        <f>sum('P&amp;L Detailed'!H5:J7)</f>
        <v>3735301</v>
      </c>
      <c r="F6" s="14">
        <f>sum('P&amp;L Detailed'!K5:M7)</f>
        <v>3734691.87</v>
      </c>
      <c r="G6" s="14">
        <f t="shared" ref="G6:G7" si="1">C6+D6+E6+F6</f>
        <v>12812463.87</v>
      </c>
    </row>
    <row r="7" ht="14.25" customHeight="1">
      <c r="B7" s="13" t="s">
        <v>11</v>
      </c>
      <c r="C7" s="14">
        <f>sum('P&amp;L Detailed'!B8:D8)</f>
        <v>40950</v>
      </c>
      <c r="D7" s="14">
        <f>sum('P&amp;L Detailed'!E8:G8)</f>
        <v>57000</v>
      </c>
      <c r="E7" s="14">
        <f>sum('P&amp;L Detailed'!H8:J8)</f>
        <v>78200</v>
      </c>
      <c r="F7" s="15">
        <f>sum('P&amp;L Detailed'!K8:M8)</f>
        <v>101745</v>
      </c>
      <c r="G7" s="14">
        <f t="shared" si="1"/>
        <v>277895</v>
      </c>
    </row>
    <row r="8" ht="14.25" customHeight="1">
      <c r="B8" s="13" t="s">
        <v>12</v>
      </c>
      <c r="C8" s="14"/>
      <c r="D8" s="14"/>
      <c r="E8" s="14"/>
      <c r="F8" s="14"/>
      <c r="G8" s="14"/>
    </row>
    <row r="9" ht="14.25" customHeight="1">
      <c r="B9" s="13" t="s">
        <v>13</v>
      </c>
      <c r="C9" s="14"/>
      <c r="D9" s="14"/>
      <c r="E9" s="14"/>
      <c r="F9" s="14"/>
      <c r="G9" s="14"/>
    </row>
    <row r="10" ht="14.25" customHeight="1">
      <c r="B10" s="16" t="s">
        <v>14</v>
      </c>
      <c r="C10" s="17">
        <f t="shared" ref="C10:G10" si="2">SUM(C6:C9)</f>
        <v>2737873</v>
      </c>
      <c r="D10" s="17">
        <f t="shared" si="2"/>
        <v>2702548</v>
      </c>
      <c r="E10" s="17">
        <f t="shared" si="2"/>
        <v>3813501</v>
      </c>
      <c r="F10" s="17">
        <f t="shared" si="2"/>
        <v>3836436.87</v>
      </c>
      <c r="G10" s="17">
        <f t="shared" si="2"/>
        <v>13090358.87</v>
      </c>
      <c r="H10" s="18"/>
      <c r="I10" s="19" t="s">
        <v>15</v>
      </c>
    </row>
    <row r="11" ht="14.25" customHeight="1">
      <c r="B11" s="20" t="s">
        <v>16</v>
      </c>
      <c r="C11" s="20" t="s">
        <v>16</v>
      </c>
      <c r="D11" s="20" t="s">
        <v>16</v>
      </c>
      <c r="E11" s="20" t="s">
        <v>16</v>
      </c>
      <c r="F11" s="20" t="s">
        <v>16</v>
      </c>
      <c r="G11" s="20"/>
    </row>
    <row r="12" ht="14.25" customHeight="1">
      <c r="B12" s="13" t="s">
        <v>17</v>
      </c>
      <c r="C12" s="14">
        <f>'P&amp;L Detailed'!B10+'P&amp;L Detailed'!C10+'P&amp;L Detailed'!D10</f>
        <v>624743</v>
      </c>
      <c r="D12" s="14">
        <f>'P&amp;L Detailed'!E10+'P&amp;L Detailed'!F10+'P&amp;L Detailed'!G10</f>
        <v>553878</v>
      </c>
      <c r="E12" s="14">
        <f>'P&amp;L Detailed'!H10+'P&amp;L Detailed'!I10+'P&amp;L Detailed'!J10</f>
        <v>788177</v>
      </c>
      <c r="F12" s="14">
        <f>'P&amp;L Detailed'!K10+'P&amp;L Detailed'!L10+'P&amp;L Detailed'!M10</f>
        <v>1089006.66</v>
      </c>
      <c r="G12" s="14">
        <f t="shared" ref="G12:G13" si="3">C12+D12+E12+F12</f>
        <v>3055804.66</v>
      </c>
    </row>
    <row r="13" ht="14.25" customHeight="1">
      <c r="B13" s="13" t="s">
        <v>18</v>
      </c>
      <c r="C13" s="14">
        <f>'P&amp;L Detailed'!B15+'P&amp;L Detailed'!C15+'P&amp;L Detailed'!D15</f>
        <v>99160</v>
      </c>
      <c r="D13" s="14">
        <f>'P&amp;L Detailed'!E15+'P&amp;L Detailed'!F15+'P&amp;L Detailed'!G15</f>
        <v>88568</v>
      </c>
      <c r="E13" s="14">
        <f>'P&amp;L Detailed'!H15+'P&amp;L Detailed'!I15+'P&amp;L Detailed'!J15</f>
        <v>72944</v>
      </c>
      <c r="F13" s="14">
        <f>'P&amp;L Detailed'!K15+'P&amp;L Detailed'!L15+'P&amp;L Detailed'!M15</f>
        <v>135711.87</v>
      </c>
      <c r="G13" s="14">
        <f t="shared" si="3"/>
        <v>396383.87</v>
      </c>
    </row>
    <row r="14" ht="14.25" customHeight="1">
      <c r="B14" s="13" t="s">
        <v>16</v>
      </c>
      <c r="C14" s="13" t="s">
        <v>16</v>
      </c>
      <c r="D14" s="13" t="s">
        <v>16</v>
      </c>
      <c r="E14" s="13" t="s">
        <v>16</v>
      </c>
      <c r="F14" s="13" t="s">
        <v>16</v>
      </c>
      <c r="G14" s="13"/>
    </row>
    <row r="15" ht="14.25" customHeight="1">
      <c r="B15" s="16" t="s">
        <v>19</v>
      </c>
      <c r="C15" s="17">
        <f t="shared" ref="C15:G15" si="4">C10-C12-C13</f>
        <v>2013970</v>
      </c>
      <c r="D15" s="17">
        <f t="shared" si="4"/>
        <v>2060102</v>
      </c>
      <c r="E15" s="17">
        <f t="shared" si="4"/>
        <v>2952380</v>
      </c>
      <c r="F15" s="17">
        <f t="shared" si="4"/>
        <v>2611718.34</v>
      </c>
      <c r="G15" s="17">
        <f t="shared" si="4"/>
        <v>9638170.34</v>
      </c>
    </row>
    <row r="16" ht="14.25" customHeight="1">
      <c r="B16" s="16" t="s">
        <v>20</v>
      </c>
      <c r="C16" s="21">
        <f t="shared" ref="C16:G16" si="5">C15/C10</f>
        <v>0.7355965744</v>
      </c>
      <c r="D16" s="21">
        <f t="shared" si="5"/>
        <v>0.762281373</v>
      </c>
      <c r="E16" s="21">
        <f t="shared" si="5"/>
        <v>0.7741914844</v>
      </c>
      <c r="F16" s="21">
        <f t="shared" si="5"/>
        <v>0.6807666667</v>
      </c>
      <c r="G16" s="21">
        <f t="shared" si="5"/>
        <v>0.7362800696</v>
      </c>
    </row>
    <row r="17" ht="14.25" customHeight="1">
      <c r="B17" s="20" t="s">
        <v>16</v>
      </c>
      <c r="C17" s="20" t="s">
        <v>16</v>
      </c>
      <c r="D17" s="20" t="s">
        <v>16</v>
      </c>
      <c r="E17" s="20" t="s">
        <v>16</v>
      </c>
      <c r="F17" s="20" t="s">
        <v>16</v>
      </c>
      <c r="G17" s="20"/>
    </row>
    <row r="18" ht="14.25" customHeight="1">
      <c r="B18" s="13" t="s">
        <v>21</v>
      </c>
      <c r="C18" s="14">
        <f>'P&amp;L Detailed'!B25+'P&amp;L Detailed'!C25+'P&amp;L Detailed'!D25</f>
        <v>0</v>
      </c>
      <c r="D18" s="14">
        <f>'P&amp;L Detailed'!E25+'P&amp;L Detailed'!F25+'P&amp;L Detailed'!G25</f>
        <v>0</v>
      </c>
      <c r="E18" s="14">
        <f>'P&amp;L Detailed'!F25+'P&amp;L Detailed'!G25+'P&amp;L Detailed'!H25</f>
        <v>0</v>
      </c>
      <c r="F18" s="14">
        <f>'P&amp;L Detailed'!G25+'P&amp;L Detailed'!H25+'P&amp;L Detailed'!I25</f>
        <v>0</v>
      </c>
      <c r="G18" s="14">
        <f t="shared" ref="G18:G19" si="6">C18+D18+E18+F18</f>
        <v>0</v>
      </c>
    </row>
    <row r="19" ht="14.25" customHeight="1">
      <c r="B19" s="13" t="s">
        <v>22</v>
      </c>
      <c r="C19" s="14">
        <f>'P&amp;L Detailed'!B30+'P&amp;L Detailed'!C30+'P&amp;L Detailed'!D30</f>
        <v>1109301</v>
      </c>
      <c r="D19" s="14">
        <f>'P&amp;L Detailed'!E30+'P&amp;L Detailed'!F30+'P&amp;L Detailed'!G30</f>
        <v>1111251.11</v>
      </c>
      <c r="E19" s="14">
        <f>'P&amp;L Detailed'!H30+'P&amp;L Detailed'!I30+'P&amp;L Detailed'!J30</f>
        <v>1291284.09</v>
      </c>
      <c r="F19" s="14">
        <f>'P&amp;L Detailed'!K30+'P&amp;L Detailed'!L30+'P&amp;L Detailed'!M30</f>
        <v>1468498.05</v>
      </c>
      <c r="G19" s="14">
        <f t="shared" si="6"/>
        <v>4980334.25</v>
      </c>
    </row>
    <row r="20" ht="14.25" customHeight="1">
      <c r="B20" s="13" t="s">
        <v>16</v>
      </c>
      <c r="C20" s="13" t="s">
        <v>16</v>
      </c>
      <c r="D20" s="13" t="s">
        <v>16</v>
      </c>
      <c r="E20" s="13" t="s">
        <v>16</v>
      </c>
      <c r="F20" s="13" t="s">
        <v>16</v>
      </c>
      <c r="G20" s="13"/>
    </row>
    <row r="21" ht="14.25" customHeight="1">
      <c r="B21" s="16" t="s">
        <v>23</v>
      </c>
      <c r="C21" s="17">
        <f t="shared" ref="C21:G21" si="7">C15+C18-C19</f>
        <v>904669</v>
      </c>
      <c r="D21" s="17">
        <f t="shared" si="7"/>
        <v>948850.89</v>
      </c>
      <c r="E21" s="17">
        <f t="shared" si="7"/>
        <v>1661095.91</v>
      </c>
      <c r="F21" s="17">
        <f t="shared" si="7"/>
        <v>1143220.29</v>
      </c>
      <c r="G21" s="17">
        <f t="shared" si="7"/>
        <v>4657836.09</v>
      </c>
    </row>
    <row r="22" ht="14.25" customHeight="1">
      <c r="B22" s="16" t="s">
        <v>24</v>
      </c>
      <c r="C22" s="21">
        <f t="shared" ref="C22:G22" si="8">C21/C10</f>
        <v>0.3304276714</v>
      </c>
      <c r="D22" s="21">
        <f t="shared" si="8"/>
        <v>0.351094926</v>
      </c>
      <c r="E22" s="21">
        <f t="shared" si="8"/>
        <v>0.4355829224</v>
      </c>
      <c r="F22" s="21">
        <f t="shared" si="8"/>
        <v>0.2979901218</v>
      </c>
      <c r="G22" s="21">
        <f t="shared" si="8"/>
        <v>0.355821879</v>
      </c>
    </row>
    <row r="23" ht="14.25" customHeight="1">
      <c r="B23" s="20" t="s">
        <v>16</v>
      </c>
      <c r="C23" s="20" t="s">
        <v>16</v>
      </c>
      <c r="D23" s="20" t="s">
        <v>16</v>
      </c>
      <c r="E23" s="20" t="s">
        <v>16</v>
      </c>
      <c r="F23" s="20" t="s">
        <v>16</v>
      </c>
      <c r="G23" s="20"/>
    </row>
    <row r="24" ht="14.25" customHeight="1">
      <c r="B24" s="13" t="s">
        <v>25</v>
      </c>
      <c r="C24" s="14">
        <f>'P&amp;L Detailed'!B42+'P&amp;L Detailed'!C42+'P&amp;L Detailed'!D42</f>
        <v>1466.5</v>
      </c>
      <c r="D24" s="14">
        <f>'P&amp;L Detailed'!E42+'P&amp;L Detailed'!F42+'P&amp;L Detailed'!G42</f>
        <v>3096.6</v>
      </c>
      <c r="E24" s="14">
        <f>'P&amp;L Detailed'!H42+'P&amp;L Detailed'!I42+'P&amp;L Detailed'!J42</f>
        <v>2304.3</v>
      </c>
      <c r="F24" s="14">
        <f>'P&amp;L Detailed'!K42+'P&amp;L Detailed'!L42+'P&amp;L Detailed'!M42</f>
        <v>2621.52</v>
      </c>
      <c r="G24" s="14">
        <f t="shared" ref="G24:G25" si="9">C24+D24+E24+F24</f>
        <v>9488.92</v>
      </c>
    </row>
    <row r="25" ht="14.25" customHeight="1">
      <c r="B25" s="13" t="s">
        <v>26</v>
      </c>
      <c r="C25" s="14">
        <f>'P&amp;L Detailed'!B47+'P&amp;L Detailed'!C47+'P&amp;L Detailed'!D47</f>
        <v>70000</v>
      </c>
      <c r="D25" s="14">
        <f>'P&amp;L Detailed'!E47+'P&amp;L Detailed'!F47+'P&amp;L Detailed'!G47</f>
        <v>70000</v>
      </c>
      <c r="E25" s="14">
        <f>'P&amp;L Detailed'!H47+'P&amp;L Detailed'!I47+'P&amp;L Detailed'!J47</f>
        <v>70000</v>
      </c>
      <c r="F25" s="14">
        <f>'P&amp;L Detailed'!K47+'P&amp;L Detailed'!L47+'P&amp;L Detailed'!M47</f>
        <v>70000</v>
      </c>
      <c r="G25" s="14">
        <f t="shared" si="9"/>
        <v>280000</v>
      </c>
    </row>
    <row r="26" ht="14.25" customHeight="1">
      <c r="B26" s="13" t="s">
        <v>27</v>
      </c>
      <c r="C26" s="14" t="s">
        <v>28</v>
      </c>
      <c r="D26" s="14" t="s">
        <v>29</v>
      </c>
      <c r="E26" s="14" t="s">
        <v>28</v>
      </c>
      <c r="F26" s="14" t="s">
        <v>29</v>
      </c>
      <c r="G26" s="14"/>
    </row>
    <row r="27" ht="14.25" customHeight="1">
      <c r="B27" s="13" t="s">
        <v>16</v>
      </c>
      <c r="C27" s="13" t="s">
        <v>16</v>
      </c>
      <c r="D27" s="13" t="s">
        <v>16</v>
      </c>
      <c r="E27" s="13" t="s">
        <v>16</v>
      </c>
      <c r="F27" s="13" t="s">
        <v>16</v>
      </c>
      <c r="G27" s="13"/>
    </row>
    <row r="28" ht="14.25" customHeight="1">
      <c r="B28" s="16" t="s">
        <v>30</v>
      </c>
      <c r="C28" s="17">
        <f t="shared" ref="C28:G28" si="10">C21-(C24+C25)</f>
        <v>833202.5</v>
      </c>
      <c r="D28" s="17">
        <f t="shared" si="10"/>
        <v>875754.29</v>
      </c>
      <c r="E28" s="17">
        <f t="shared" si="10"/>
        <v>1588791.61</v>
      </c>
      <c r="F28" s="17">
        <f t="shared" si="10"/>
        <v>1070598.77</v>
      </c>
      <c r="G28" s="17">
        <f t="shared" si="10"/>
        <v>4368347.17</v>
      </c>
    </row>
    <row r="29" ht="14.25" customHeight="1">
      <c r="B29" s="16" t="s">
        <v>31</v>
      </c>
      <c r="C29" s="21">
        <f t="shared" ref="C29:G29" si="11">C28/C10</f>
        <v>0.3043247441</v>
      </c>
      <c r="D29" s="21">
        <f t="shared" si="11"/>
        <v>0.3240476358</v>
      </c>
      <c r="E29" s="21">
        <f t="shared" si="11"/>
        <v>0.4166228382</v>
      </c>
      <c r="F29" s="21">
        <f t="shared" si="11"/>
        <v>0.279060703</v>
      </c>
      <c r="G29" s="21">
        <f t="shared" si="11"/>
        <v>0.3337072126</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2:G2"/>
    <mergeCell ref="B3:G3"/>
    <mergeCell ref="C4:E4"/>
  </mergeCells>
  <printOptions/>
  <pageMargins bottom="0.75" footer="0.0" header="0.0" left="0.25" right="0.25" top="0.75"/>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0" topLeftCell="B1" activePane="topRight" state="frozen"/>
      <selection activeCell="C2" sqref="C2" pane="topRight"/>
    </sheetView>
  </sheetViews>
  <sheetFormatPr customHeight="1" defaultColWidth="12.63" defaultRowHeight="15.0"/>
  <cols>
    <col customWidth="1" min="1" max="1" width="11.75"/>
    <col customWidth="1" min="2" max="7" width="15.38"/>
    <col customWidth="1" min="8" max="8" width="11.88"/>
    <col customWidth="1" min="9" max="25" width="8.63"/>
  </cols>
  <sheetData>
    <row r="1" ht="33.75" customHeight="1">
      <c r="A1" s="22" t="s">
        <v>32</v>
      </c>
      <c r="B1" s="23"/>
      <c r="C1" s="23"/>
      <c r="D1" s="23"/>
      <c r="E1" s="23"/>
      <c r="F1" s="23"/>
      <c r="G1" s="24"/>
      <c r="H1" s="25"/>
    </row>
    <row r="2" ht="35.25" customHeight="1">
      <c r="A2" s="26" t="s">
        <v>33</v>
      </c>
      <c r="B2" s="27" t="s">
        <v>34</v>
      </c>
      <c r="C2" s="28" t="s">
        <v>35</v>
      </c>
      <c r="D2" s="29" t="s">
        <v>36</v>
      </c>
      <c r="E2" s="30" t="s">
        <v>37</v>
      </c>
      <c r="F2" s="31" t="s">
        <v>12</v>
      </c>
      <c r="G2" s="32" t="s">
        <v>38</v>
      </c>
      <c r="H2" s="32" t="s">
        <v>39</v>
      </c>
      <c r="I2" s="33"/>
      <c r="J2" s="33"/>
      <c r="K2" s="33"/>
      <c r="L2" s="33"/>
      <c r="M2" s="33"/>
      <c r="N2" s="33"/>
      <c r="O2" s="33"/>
      <c r="P2" s="33"/>
      <c r="Q2" s="33"/>
      <c r="R2" s="33"/>
      <c r="S2" s="33"/>
      <c r="T2" s="33"/>
      <c r="U2" s="33"/>
      <c r="V2" s="33"/>
      <c r="W2" s="33"/>
      <c r="X2" s="33"/>
      <c r="Y2" s="33"/>
    </row>
    <row r="3" ht="15.0" customHeight="1">
      <c r="A3" s="34" t="s">
        <v>40</v>
      </c>
      <c r="B3" s="35">
        <v>118348.0</v>
      </c>
      <c r="C3" s="35">
        <v>264870.0</v>
      </c>
      <c r="D3" s="35">
        <v>524656.0</v>
      </c>
      <c r="E3" s="36"/>
      <c r="F3" s="36"/>
      <c r="G3" s="36">
        <f>SUM(Segment_wise_Revenue!$B3:$F3)</f>
        <v>907874</v>
      </c>
      <c r="H3" s="37">
        <f>Segment_wise_Revenue!$G3/$G$15</f>
        <v>0.07027056981</v>
      </c>
    </row>
    <row r="4" ht="15.0" customHeight="1">
      <c r="A4" s="34" t="s">
        <v>41</v>
      </c>
      <c r="B4" s="35">
        <v>181875.0</v>
      </c>
      <c r="C4" s="35">
        <v>344792.0</v>
      </c>
      <c r="D4" s="35">
        <v>525237.0</v>
      </c>
      <c r="E4" s="35">
        <v>27450.0</v>
      </c>
      <c r="F4" s="36"/>
      <c r="G4" s="36">
        <f>SUM(Segment_wise_Revenue!$B4:$F4)</f>
        <v>1079354</v>
      </c>
      <c r="H4" s="38">
        <f>Segment_wise_Revenue!$G4/$G$15</f>
        <v>0.08354333377</v>
      </c>
    </row>
    <row r="5" ht="15.0" customHeight="1">
      <c r="A5" s="34" t="s">
        <v>42</v>
      </c>
      <c r="B5" s="35">
        <v>63993.0</v>
      </c>
      <c r="C5" s="35">
        <v>323481.0</v>
      </c>
      <c r="D5" s="35">
        <v>349671.0</v>
      </c>
      <c r="E5" s="35">
        <v>13500.0</v>
      </c>
      <c r="F5" s="36"/>
      <c r="G5" s="36">
        <f>SUM(Segment_wise_Revenue!$B5:$F5)</f>
        <v>750645</v>
      </c>
      <c r="H5" s="37">
        <f>Segment_wise_Revenue!$G5/$G$15</f>
        <v>0.05810085086</v>
      </c>
    </row>
    <row r="6" ht="15.0" customHeight="1">
      <c r="A6" s="34" t="s">
        <v>43</v>
      </c>
      <c r="B6" s="35">
        <v>113740.0</v>
      </c>
      <c r="C6" s="35">
        <v>340593.0</v>
      </c>
      <c r="D6" s="35">
        <v>493341.0</v>
      </c>
      <c r="E6" s="35">
        <v>20500.0</v>
      </c>
      <c r="F6" s="36"/>
      <c r="G6" s="36">
        <f>SUM(Segment_wise_Revenue!$B6:$F6)</f>
        <v>968174</v>
      </c>
      <c r="H6" s="38">
        <f>Segment_wise_Revenue!$G6/$G$15</f>
        <v>0.07493786434</v>
      </c>
    </row>
    <row r="7" ht="15.0" customHeight="1">
      <c r="A7" s="34" t="s">
        <v>44</v>
      </c>
      <c r="B7" s="35">
        <v>222121.0</v>
      </c>
      <c r="C7" s="35">
        <v>370930.0</v>
      </c>
      <c r="D7" s="35">
        <v>261784.0</v>
      </c>
      <c r="E7" s="35">
        <v>23500.0</v>
      </c>
      <c r="F7" s="36"/>
      <c r="G7" s="36">
        <f>SUM(Segment_wise_Revenue!$B7:$F7)</f>
        <v>878335</v>
      </c>
      <c r="H7" s="37">
        <f>Segment_wise_Revenue!$G7/$G$15</f>
        <v>0.0679842147</v>
      </c>
    </row>
    <row r="8" ht="15.0" customHeight="1">
      <c r="A8" s="34" t="s">
        <v>45</v>
      </c>
      <c r="B8" s="35">
        <v>49180.0</v>
      </c>
      <c r="C8" s="35">
        <v>436280.0</v>
      </c>
      <c r="D8" s="35">
        <v>357579.0</v>
      </c>
      <c r="E8" s="35">
        <v>13000.0</v>
      </c>
      <c r="F8" s="36"/>
      <c r="G8" s="36">
        <f>SUM(Segment_wise_Revenue!$B8:$F8)</f>
        <v>856039</v>
      </c>
      <c r="H8" s="38">
        <f>Segment_wise_Revenue!$G8/$G$15</f>
        <v>0.06625847674</v>
      </c>
    </row>
    <row r="9" ht="15.0" customHeight="1">
      <c r="A9" s="34" t="s">
        <v>46</v>
      </c>
      <c r="B9" s="39">
        <v>100602.0</v>
      </c>
      <c r="C9" s="39">
        <v>754392.0</v>
      </c>
      <c r="D9" s="39">
        <v>363649.0</v>
      </c>
      <c r="E9" s="39">
        <v>20900.0</v>
      </c>
      <c r="F9" s="40"/>
      <c r="G9" s="36">
        <f>SUM(Segment_wise_Revenue!$B9:$F9)</f>
        <v>1239543</v>
      </c>
      <c r="H9" s="37">
        <f>Segment_wise_Revenue!$G9/$G$15</f>
        <v>0.09594216038</v>
      </c>
    </row>
    <row r="10" ht="15.0" customHeight="1">
      <c r="A10" s="34" t="s">
        <v>47</v>
      </c>
      <c r="B10" s="39">
        <v>159971.0</v>
      </c>
      <c r="C10" s="39">
        <f>586885+9851</f>
        <v>596736</v>
      </c>
      <c r="D10" s="39">
        <v>426519.0</v>
      </c>
      <c r="E10" s="39">
        <v>19500.0</v>
      </c>
      <c r="F10" s="40"/>
      <c r="G10" s="36">
        <f>SUM(Segment_wise_Revenue!$B10:$F10)</f>
        <v>1202726</v>
      </c>
      <c r="H10" s="38">
        <f>Segment_wise_Revenue!$G10/$G$15</f>
        <v>0.09309247907</v>
      </c>
    </row>
    <row r="11" ht="15.0" customHeight="1">
      <c r="A11" s="34" t="s">
        <v>48</v>
      </c>
      <c r="B11" s="39">
        <f>108129-37800</f>
        <v>70329</v>
      </c>
      <c r="C11" s="39">
        <v>582752.0</v>
      </c>
      <c r="D11" s="39">
        <v>680351.0</v>
      </c>
      <c r="E11" s="39">
        <v>37800.0</v>
      </c>
      <c r="F11" s="40"/>
      <c r="G11" s="36">
        <f>SUM(Segment_wise_Revenue!$B11:$F11)</f>
        <v>1371232</v>
      </c>
      <c r="H11" s="37">
        <f>Segment_wise_Revenue!$G11/$G$15</f>
        <v>0.1061350518</v>
      </c>
    </row>
    <row r="12" ht="15.0" customHeight="1">
      <c r="A12" s="34" t="s">
        <v>49</v>
      </c>
      <c r="B12" s="39">
        <v>90700.0</v>
      </c>
      <c r="C12" s="39">
        <v>385146.0</v>
      </c>
      <c r="D12" s="39">
        <v>460167.0</v>
      </c>
      <c r="E12" s="39">
        <v>25500.0</v>
      </c>
      <c r="F12" s="40"/>
      <c r="G12" s="36">
        <f>SUM(Segment_wise_Revenue!$B12:$F12)</f>
        <v>961513</v>
      </c>
      <c r="H12" s="38">
        <f>Segment_wise_Revenue!$G12/$G$15</f>
        <v>0.07442229471</v>
      </c>
    </row>
    <row r="13" ht="15.0" customHeight="1">
      <c r="A13" s="34" t="s">
        <v>50</v>
      </c>
      <c r="B13" s="40">
        <f t="shared" ref="B13:E13" si="1">B12+(B12*25%)</f>
        <v>113375</v>
      </c>
      <c r="C13" s="40">
        <f t="shared" si="1"/>
        <v>481432.5</v>
      </c>
      <c r="D13" s="40">
        <f t="shared" si="1"/>
        <v>575208.75</v>
      </c>
      <c r="E13" s="40">
        <f t="shared" si="1"/>
        <v>31875</v>
      </c>
      <c r="F13" s="40"/>
      <c r="G13" s="36">
        <f>SUM(Segment_wise_Revenue!$B13:$F13)</f>
        <v>1201891.25</v>
      </c>
      <c r="H13" s="37">
        <f>Segment_wise_Revenue!$G13/$G$15</f>
        <v>0.09302786839</v>
      </c>
    </row>
    <row r="14" ht="15.0" customHeight="1">
      <c r="A14" s="34" t="s">
        <v>51</v>
      </c>
      <c r="B14" s="40">
        <f t="shared" ref="B14:F14" si="2">B13+(B13*25%)</f>
        <v>141718.75</v>
      </c>
      <c r="C14" s="40">
        <f t="shared" si="2"/>
        <v>601790.625</v>
      </c>
      <c r="D14" s="40">
        <f t="shared" si="2"/>
        <v>719010.9375</v>
      </c>
      <c r="E14" s="40">
        <f t="shared" si="2"/>
        <v>39843.75</v>
      </c>
      <c r="F14" s="40">
        <f t="shared" si="2"/>
        <v>0</v>
      </c>
      <c r="G14" s="36">
        <f>SUM(Segment_wise_Revenue!$B14:$F14)</f>
        <v>1502364.063</v>
      </c>
      <c r="H14" s="38">
        <f>Segment_wise_Revenue!$G14/$G$15</f>
        <v>0.1162848355</v>
      </c>
    </row>
    <row r="15" ht="15.0" customHeight="1">
      <c r="A15" s="41" t="s">
        <v>52</v>
      </c>
      <c r="B15" s="42">
        <f t="shared" ref="B15:G15" si="3">SUM(B3:B14)</f>
        <v>1425952.75</v>
      </c>
      <c r="C15" s="42">
        <f t="shared" si="3"/>
        <v>5483195.125</v>
      </c>
      <c r="D15" s="42">
        <f t="shared" si="3"/>
        <v>5737173.688</v>
      </c>
      <c r="E15" s="42">
        <f t="shared" si="3"/>
        <v>273368.75</v>
      </c>
      <c r="F15" s="42">
        <f t="shared" si="3"/>
        <v>0</v>
      </c>
      <c r="G15" s="42">
        <f t="shared" si="3"/>
        <v>12919690.31</v>
      </c>
      <c r="H15" s="43">
        <f>SUBTOTAL(109,H3:H14)</f>
        <v>1</v>
      </c>
    </row>
    <row r="16" ht="15.0" customHeight="1">
      <c r="A16" s="44"/>
      <c r="B16" s="45">
        <f>B15/G15</f>
        <v>0.1103705054</v>
      </c>
      <c r="C16" s="45">
        <f>C15/G15</f>
        <v>0.4244060804</v>
      </c>
      <c r="D16" s="45">
        <f>D15/G15</f>
        <v>0.444064335</v>
      </c>
      <c r="E16" s="45">
        <f>E15/G15</f>
        <v>0.02115907916</v>
      </c>
      <c r="F16" s="45"/>
      <c r="G16" s="46">
        <v>1.0</v>
      </c>
      <c r="H16" s="47"/>
    </row>
    <row r="17" ht="15.0" customHeight="1">
      <c r="A17" s="44"/>
      <c r="B17" s="48"/>
      <c r="C17" s="48"/>
      <c r="D17" s="48"/>
      <c r="E17" s="48"/>
      <c r="F17" s="48"/>
      <c r="G17" s="49">
        <f>ROUND(SUM(G3:G14),0)</f>
        <v>12919690</v>
      </c>
      <c r="H17" s="50"/>
    </row>
    <row r="18" ht="14.25" customHeight="1">
      <c r="A18" s="51"/>
      <c r="G18" s="52"/>
      <c r="H18" s="25"/>
    </row>
    <row r="19" ht="14.25" customHeight="1">
      <c r="A19" s="51"/>
      <c r="H19" s="25"/>
    </row>
    <row r="20" ht="14.25" customHeight="1">
      <c r="A20" s="51"/>
      <c r="H20" s="25"/>
    </row>
    <row r="21" ht="14.25" customHeight="1">
      <c r="A21" s="51"/>
      <c r="H21" s="25"/>
    </row>
    <row r="22" ht="14.25" customHeight="1">
      <c r="A22" s="51"/>
      <c r="H22" s="25"/>
    </row>
    <row r="23" ht="14.25" customHeight="1">
      <c r="A23" s="51"/>
      <c r="H23" s="25"/>
    </row>
    <row r="24" ht="14.25" customHeight="1">
      <c r="A24" s="51"/>
      <c r="H24" s="25"/>
    </row>
    <row r="25" ht="14.25" customHeight="1">
      <c r="A25" s="51"/>
      <c r="H25" s="25"/>
    </row>
    <row r="26" ht="14.25" customHeight="1">
      <c r="A26" s="51"/>
      <c r="H26" s="25"/>
    </row>
    <row r="27" ht="14.25" customHeight="1">
      <c r="A27" s="51"/>
      <c r="H27" s="25"/>
    </row>
    <row r="28" ht="14.25" customHeight="1">
      <c r="A28" s="51"/>
      <c r="H28" s="25"/>
    </row>
    <row r="29" ht="14.25" customHeight="1">
      <c r="A29" s="51"/>
      <c r="H29" s="25"/>
    </row>
    <row r="30" ht="14.25" customHeight="1">
      <c r="A30" s="51"/>
      <c r="H30" s="25"/>
    </row>
    <row r="31" ht="14.25" customHeight="1">
      <c r="A31" s="51"/>
      <c r="H31" s="25"/>
    </row>
    <row r="32" ht="14.25" customHeight="1">
      <c r="A32" s="51"/>
      <c r="H32" s="25"/>
    </row>
    <row r="33" ht="14.25" customHeight="1">
      <c r="A33" s="51"/>
      <c r="H33" s="25"/>
    </row>
    <row r="34" ht="14.25" customHeight="1">
      <c r="A34" s="51"/>
      <c r="H34" s="25"/>
    </row>
    <row r="35" ht="14.25" customHeight="1">
      <c r="A35" s="51"/>
      <c r="H35" s="25"/>
    </row>
    <row r="36" ht="14.25" customHeight="1">
      <c r="A36" s="51"/>
      <c r="H36" s="25"/>
    </row>
    <row r="37" ht="14.25" customHeight="1">
      <c r="A37" s="51"/>
      <c r="H37" s="25"/>
    </row>
    <row r="38" ht="14.25" customHeight="1">
      <c r="A38" s="51"/>
      <c r="H38" s="25"/>
    </row>
    <row r="39" ht="14.25" customHeight="1">
      <c r="A39" s="51"/>
      <c r="H39" s="25"/>
    </row>
    <row r="40" ht="14.25" customHeight="1">
      <c r="A40" s="51"/>
      <c r="H40" s="25"/>
    </row>
    <row r="41" ht="14.25" customHeight="1">
      <c r="A41" s="51"/>
      <c r="H41" s="25"/>
    </row>
    <row r="42" ht="14.25" customHeight="1">
      <c r="A42" s="51"/>
      <c r="H42" s="25"/>
    </row>
    <row r="43" ht="14.25" customHeight="1">
      <c r="A43" s="51"/>
      <c r="H43" s="25"/>
    </row>
    <row r="44" ht="14.25" customHeight="1">
      <c r="A44" s="51"/>
      <c r="H44" s="25"/>
    </row>
    <row r="45" ht="14.25" customHeight="1">
      <c r="A45" s="51"/>
      <c r="H45" s="25"/>
    </row>
    <row r="46" ht="14.25" customHeight="1">
      <c r="A46" s="51"/>
      <c r="H46" s="25"/>
    </row>
    <row r="47" ht="14.25" customHeight="1">
      <c r="A47" s="51"/>
      <c r="H47" s="25"/>
    </row>
    <row r="48" ht="14.25" customHeight="1">
      <c r="A48" s="51"/>
      <c r="H48" s="25"/>
    </row>
    <row r="49" ht="14.25" customHeight="1">
      <c r="A49" s="51"/>
      <c r="H49" s="25"/>
    </row>
    <row r="50" ht="14.25" customHeight="1">
      <c r="A50" s="51"/>
      <c r="H50" s="25"/>
    </row>
    <row r="51" ht="14.25" customHeight="1">
      <c r="A51" s="51"/>
      <c r="H51" s="25"/>
    </row>
    <row r="52" ht="14.25" customHeight="1">
      <c r="A52" s="51"/>
      <c r="H52" s="25"/>
    </row>
    <row r="53" ht="14.25" customHeight="1">
      <c r="A53" s="51"/>
      <c r="H53" s="25"/>
    </row>
    <row r="54" ht="14.25" customHeight="1">
      <c r="A54" s="51"/>
      <c r="H54" s="25"/>
    </row>
    <row r="55" ht="14.25" customHeight="1">
      <c r="A55" s="51"/>
      <c r="H55" s="25"/>
    </row>
    <row r="56" ht="14.25" customHeight="1">
      <c r="A56" s="51"/>
      <c r="H56" s="25"/>
    </row>
    <row r="57" ht="14.25" customHeight="1">
      <c r="A57" s="51"/>
      <c r="H57" s="25"/>
    </row>
    <row r="58" ht="14.25" customHeight="1">
      <c r="A58" s="51"/>
      <c r="H58" s="25"/>
    </row>
    <row r="59" ht="14.25" customHeight="1">
      <c r="A59" s="51"/>
      <c r="H59" s="25"/>
    </row>
    <row r="60" ht="14.25" customHeight="1">
      <c r="A60" s="51"/>
      <c r="H60" s="25"/>
    </row>
    <row r="61" ht="14.25" customHeight="1">
      <c r="A61" s="51"/>
      <c r="H61" s="25"/>
    </row>
    <row r="62" ht="14.25" customHeight="1">
      <c r="A62" s="51"/>
      <c r="H62" s="25"/>
    </row>
    <row r="63" ht="14.25" customHeight="1">
      <c r="A63" s="51"/>
      <c r="H63" s="25"/>
    </row>
    <row r="64" ht="14.25" customHeight="1">
      <c r="A64" s="51"/>
      <c r="H64" s="25"/>
    </row>
    <row r="65" ht="14.25" customHeight="1">
      <c r="A65" s="51"/>
      <c r="H65" s="25"/>
    </row>
    <row r="66" ht="14.25" customHeight="1">
      <c r="A66" s="51"/>
      <c r="H66" s="25"/>
    </row>
    <row r="67" ht="14.25" customHeight="1">
      <c r="A67" s="51"/>
      <c r="H67" s="25"/>
    </row>
    <row r="68" ht="14.25" customHeight="1">
      <c r="A68" s="51"/>
      <c r="H68" s="25"/>
    </row>
    <row r="69" ht="14.25" customHeight="1">
      <c r="A69" s="51"/>
      <c r="H69" s="25"/>
    </row>
    <row r="70" ht="14.25" customHeight="1">
      <c r="A70" s="51"/>
      <c r="H70" s="25"/>
    </row>
    <row r="71" ht="14.25" customHeight="1">
      <c r="A71" s="51"/>
      <c r="H71" s="25"/>
    </row>
    <row r="72" ht="14.25" customHeight="1">
      <c r="A72" s="51"/>
      <c r="H72" s="25"/>
    </row>
    <row r="73" ht="14.25" customHeight="1">
      <c r="A73" s="51"/>
      <c r="H73" s="25"/>
    </row>
    <row r="74" ht="14.25" customHeight="1">
      <c r="A74" s="51"/>
      <c r="H74" s="25"/>
    </row>
    <row r="75" ht="14.25" customHeight="1">
      <c r="A75" s="51"/>
      <c r="H75" s="25"/>
    </row>
    <row r="76" ht="14.25" customHeight="1">
      <c r="A76" s="51"/>
      <c r="H76" s="25"/>
    </row>
    <row r="77" ht="14.25" customHeight="1">
      <c r="A77" s="51"/>
      <c r="H77" s="25"/>
    </row>
    <row r="78" ht="14.25" customHeight="1">
      <c r="A78" s="51"/>
      <c r="H78" s="25"/>
    </row>
    <row r="79" ht="14.25" customHeight="1">
      <c r="A79" s="51"/>
      <c r="H79" s="25"/>
    </row>
    <row r="80" ht="14.25" customHeight="1">
      <c r="A80" s="51"/>
      <c r="H80" s="25"/>
    </row>
    <row r="81" ht="14.25" customHeight="1">
      <c r="A81" s="51"/>
      <c r="H81" s="25"/>
    </row>
    <row r="82" ht="14.25" customHeight="1">
      <c r="A82" s="51"/>
      <c r="H82" s="25"/>
    </row>
    <row r="83" ht="14.25" customHeight="1">
      <c r="A83" s="51"/>
      <c r="H83" s="25"/>
    </row>
    <row r="84" ht="14.25" customHeight="1">
      <c r="A84" s="51"/>
      <c r="H84" s="25"/>
    </row>
    <row r="85" ht="14.25" customHeight="1">
      <c r="A85" s="51"/>
      <c r="H85" s="25"/>
    </row>
    <row r="86" ht="14.25" customHeight="1">
      <c r="A86" s="51"/>
      <c r="H86" s="25"/>
    </row>
    <row r="87" ht="14.25" customHeight="1">
      <c r="A87" s="51"/>
      <c r="H87" s="25"/>
    </row>
    <row r="88" ht="14.25" customHeight="1">
      <c r="A88" s="51"/>
      <c r="H88" s="25"/>
    </row>
    <row r="89" ht="14.25" customHeight="1">
      <c r="A89" s="51"/>
      <c r="H89" s="25"/>
    </row>
    <row r="90" ht="14.25" customHeight="1">
      <c r="A90" s="51"/>
      <c r="H90" s="25"/>
    </row>
    <row r="91" ht="14.25" customHeight="1">
      <c r="A91" s="51"/>
      <c r="H91" s="25"/>
    </row>
    <row r="92" ht="14.25" customHeight="1">
      <c r="A92" s="51"/>
      <c r="H92" s="25"/>
    </row>
    <row r="93" ht="14.25" customHeight="1">
      <c r="A93" s="51"/>
      <c r="H93" s="25"/>
    </row>
    <row r="94" ht="14.25" customHeight="1">
      <c r="A94" s="51"/>
      <c r="H94" s="25"/>
    </row>
    <row r="95" ht="14.25" customHeight="1">
      <c r="A95" s="51"/>
      <c r="H95" s="25"/>
    </row>
    <row r="96" ht="14.25" customHeight="1">
      <c r="A96" s="51"/>
      <c r="H96" s="25"/>
    </row>
    <row r="97" ht="14.25" customHeight="1">
      <c r="A97" s="51"/>
      <c r="H97" s="25"/>
    </row>
    <row r="98" ht="14.25" customHeight="1">
      <c r="A98" s="51"/>
      <c r="H98" s="25"/>
    </row>
    <row r="99" ht="14.25" customHeight="1">
      <c r="A99" s="51"/>
      <c r="H99" s="25"/>
    </row>
    <row r="100" ht="14.25" customHeight="1">
      <c r="A100" s="51"/>
      <c r="H100" s="25"/>
    </row>
    <row r="101" ht="14.25" customHeight="1">
      <c r="A101" s="51"/>
      <c r="H101" s="25"/>
    </row>
    <row r="102" ht="14.25" customHeight="1">
      <c r="A102" s="51"/>
      <c r="H102" s="25"/>
    </row>
    <row r="103" ht="14.25" customHeight="1">
      <c r="A103" s="51"/>
      <c r="H103" s="25"/>
    </row>
    <row r="104" ht="14.25" customHeight="1">
      <c r="A104" s="51"/>
      <c r="H104" s="25"/>
    </row>
    <row r="105" ht="14.25" customHeight="1">
      <c r="A105" s="51"/>
      <c r="H105" s="25"/>
    </row>
    <row r="106" ht="14.25" customHeight="1">
      <c r="A106" s="51"/>
      <c r="H106" s="25"/>
    </row>
    <row r="107" ht="14.25" customHeight="1">
      <c r="A107" s="51"/>
      <c r="H107" s="25"/>
    </row>
    <row r="108" ht="14.25" customHeight="1">
      <c r="A108" s="51"/>
      <c r="H108" s="25"/>
    </row>
    <row r="109" ht="14.25" customHeight="1">
      <c r="A109" s="51"/>
      <c r="H109" s="25"/>
    </row>
    <row r="110" ht="14.25" customHeight="1">
      <c r="A110" s="51"/>
      <c r="H110" s="25"/>
    </row>
    <row r="111" ht="14.25" customHeight="1">
      <c r="A111" s="51"/>
      <c r="H111" s="25"/>
    </row>
    <row r="112" ht="14.25" customHeight="1">
      <c r="A112" s="51"/>
      <c r="H112" s="25"/>
    </row>
    <row r="113" ht="14.25" customHeight="1">
      <c r="A113" s="51"/>
      <c r="H113" s="25"/>
    </row>
    <row r="114" ht="14.25" customHeight="1">
      <c r="A114" s="51"/>
      <c r="H114" s="25"/>
    </row>
    <row r="115" ht="14.25" customHeight="1">
      <c r="A115" s="51"/>
      <c r="H115" s="25"/>
    </row>
    <row r="116" ht="14.25" customHeight="1">
      <c r="A116" s="51"/>
      <c r="H116" s="25"/>
    </row>
    <row r="117" ht="14.25" customHeight="1">
      <c r="A117" s="51"/>
      <c r="H117" s="25"/>
    </row>
    <row r="118" ht="14.25" customHeight="1">
      <c r="A118" s="51"/>
      <c r="H118" s="25"/>
    </row>
    <row r="119" ht="14.25" customHeight="1">
      <c r="A119" s="51"/>
      <c r="H119" s="25"/>
    </row>
    <row r="120" ht="14.25" customHeight="1">
      <c r="A120" s="51"/>
      <c r="H120" s="25"/>
    </row>
    <row r="121" ht="14.25" customHeight="1">
      <c r="A121" s="51"/>
      <c r="H121" s="25"/>
    </row>
    <row r="122" ht="14.25" customHeight="1">
      <c r="A122" s="51"/>
      <c r="H122" s="25"/>
    </row>
    <row r="123" ht="14.25" customHeight="1">
      <c r="A123" s="51"/>
      <c r="H123" s="25"/>
    </row>
    <row r="124" ht="14.25" customHeight="1">
      <c r="A124" s="51"/>
      <c r="H124" s="25"/>
    </row>
    <row r="125" ht="14.25" customHeight="1">
      <c r="A125" s="51"/>
      <c r="H125" s="25"/>
    </row>
    <row r="126" ht="14.25" customHeight="1">
      <c r="A126" s="51"/>
      <c r="H126" s="25"/>
    </row>
    <row r="127" ht="14.25" customHeight="1">
      <c r="A127" s="51"/>
      <c r="H127" s="25"/>
    </row>
    <row r="128" ht="14.25" customHeight="1">
      <c r="A128" s="51"/>
      <c r="H128" s="25"/>
    </row>
    <row r="129" ht="14.25" customHeight="1">
      <c r="A129" s="51"/>
      <c r="H129" s="25"/>
    </row>
    <row r="130" ht="14.25" customHeight="1">
      <c r="A130" s="51"/>
      <c r="H130" s="25"/>
    </row>
    <row r="131" ht="14.25" customHeight="1">
      <c r="A131" s="51"/>
      <c r="H131" s="25"/>
    </row>
    <row r="132" ht="14.25" customHeight="1">
      <c r="A132" s="51"/>
      <c r="H132" s="25"/>
    </row>
    <row r="133" ht="14.25" customHeight="1">
      <c r="A133" s="51"/>
      <c r="H133" s="25"/>
    </row>
    <row r="134" ht="14.25" customHeight="1">
      <c r="A134" s="51"/>
      <c r="H134" s="25"/>
    </row>
    <row r="135" ht="14.25" customHeight="1">
      <c r="A135" s="51"/>
      <c r="H135" s="25"/>
    </row>
    <row r="136" ht="14.25" customHeight="1">
      <c r="A136" s="51"/>
      <c r="H136" s="25"/>
    </row>
    <row r="137" ht="14.25" customHeight="1">
      <c r="A137" s="51"/>
      <c r="H137" s="25"/>
    </row>
    <row r="138" ht="14.25" customHeight="1">
      <c r="A138" s="51"/>
      <c r="H138" s="25"/>
    </row>
    <row r="139" ht="14.25" customHeight="1">
      <c r="A139" s="51"/>
      <c r="H139" s="25"/>
    </row>
    <row r="140" ht="14.25" customHeight="1">
      <c r="A140" s="51"/>
      <c r="H140" s="25"/>
    </row>
    <row r="141" ht="14.25" customHeight="1">
      <c r="A141" s="51"/>
      <c r="H141" s="25"/>
    </row>
    <row r="142" ht="14.25" customHeight="1">
      <c r="A142" s="51"/>
      <c r="H142" s="25"/>
    </row>
    <row r="143" ht="14.25" customHeight="1">
      <c r="A143" s="51"/>
      <c r="H143" s="25"/>
    </row>
    <row r="144" ht="14.25" customHeight="1">
      <c r="A144" s="51"/>
      <c r="H144" s="25"/>
    </row>
    <row r="145" ht="14.25" customHeight="1">
      <c r="A145" s="51"/>
      <c r="H145" s="25"/>
    </row>
    <row r="146" ht="14.25" customHeight="1">
      <c r="A146" s="51"/>
      <c r="H146" s="25"/>
    </row>
    <row r="147" ht="14.25" customHeight="1">
      <c r="A147" s="51"/>
      <c r="H147" s="25"/>
    </row>
    <row r="148" ht="14.25" customHeight="1">
      <c r="A148" s="51"/>
      <c r="H148" s="25"/>
    </row>
    <row r="149" ht="14.25" customHeight="1">
      <c r="A149" s="51"/>
      <c r="H149" s="25"/>
    </row>
    <row r="150" ht="14.25" customHeight="1">
      <c r="A150" s="51"/>
      <c r="H150" s="25"/>
    </row>
    <row r="151" ht="14.25" customHeight="1">
      <c r="A151" s="51"/>
      <c r="H151" s="25"/>
    </row>
    <row r="152" ht="14.25" customHeight="1">
      <c r="A152" s="51"/>
      <c r="H152" s="25"/>
    </row>
    <row r="153" ht="14.25" customHeight="1">
      <c r="A153" s="51"/>
      <c r="H153" s="25"/>
    </row>
    <row r="154" ht="14.25" customHeight="1">
      <c r="A154" s="51"/>
      <c r="H154" s="25"/>
    </row>
    <row r="155" ht="14.25" customHeight="1">
      <c r="A155" s="51"/>
      <c r="H155" s="25"/>
    </row>
    <row r="156" ht="14.25" customHeight="1">
      <c r="A156" s="51"/>
      <c r="H156" s="25"/>
    </row>
    <row r="157" ht="14.25" customHeight="1">
      <c r="A157" s="51"/>
      <c r="H157" s="25"/>
    </row>
    <row r="158" ht="14.25" customHeight="1">
      <c r="A158" s="51"/>
      <c r="H158" s="25"/>
    </row>
    <row r="159" ht="14.25" customHeight="1">
      <c r="A159" s="51"/>
      <c r="H159" s="25"/>
    </row>
    <row r="160" ht="14.25" customHeight="1">
      <c r="A160" s="51"/>
      <c r="H160" s="25"/>
    </row>
    <row r="161" ht="14.25" customHeight="1">
      <c r="A161" s="51"/>
      <c r="H161" s="25"/>
    </row>
    <row r="162" ht="14.25" customHeight="1">
      <c r="A162" s="51"/>
      <c r="H162" s="25"/>
    </row>
    <row r="163" ht="14.25" customHeight="1">
      <c r="A163" s="51"/>
      <c r="H163" s="25"/>
    </row>
    <row r="164" ht="14.25" customHeight="1">
      <c r="A164" s="51"/>
      <c r="H164" s="25"/>
    </row>
    <row r="165" ht="14.25" customHeight="1">
      <c r="A165" s="51"/>
      <c r="H165" s="25"/>
    </row>
    <row r="166" ht="14.25" customHeight="1">
      <c r="A166" s="51"/>
      <c r="H166" s="25"/>
    </row>
    <row r="167" ht="14.25" customHeight="1">
      <c r="A167" s="51"/>
      <c r="H167" s="25"/>
    </row>
    <row r="168" ht="14.25" customHeight="1">
      <c r="A168" s="51"/>
      <c r="H168" s="25"/>
    </row>
    <row r="169" ht="14.25" customHeight="1">
      <c r="A169" s="51"/>
      <c r="H169" s="25"/>
    </row>
    <row r="170" ht="14.25" customHeight="1">
      <c r="A170" s="51"/>
      <c r="H170" s="25"/>
    </row>
    <row r="171" ht="14.25" customHeight="1">
      <c r="A171" s="51"/>
      <c r="H171" s="25"/>
    </row>
    <row r="172" ht="14.25" customHeight="1">
      <c r="A172" s="51"/>
      <c r="H172" s="25"/>
    </row>
    <row r="173" ht="14.25" customHeight="1">
      <c r="A173" s="51"/>
      <c r="H173" s="25"/>
    </row>
    <row r="174" ht="14.25" customHeight="1">
      <c r="A174" s="51"/>
      <c r="H174" s="25"/>
    </row>
    <row r="175" ht="14.25" customHeight="1">
      <c r="A175" s="51"/>
      <c r="H175" s="25"/>
    </row>
    <row r="176" ht="14.25" customHeight="1">
      <c r="A176" s="51"/>
      <c r="H176" s="25"/>
    </row>
    <row r="177" ht="14.25" customHeight="1">
      <c r="A177" s="51"/>
      <c r="H177" s="25"/>
    </row>
    <row r="178" ht="14.25" customHeight="1">
      <c r="A178" s="51"/>
      <c r="H178" s="25"/>
    </row>
    <row r="179" ht="14.25" customHeight="1">
      <c r="A179" s="51"/>
      <c r="H179" s="25"/>
    </row>
    <row r="180" ht="14.25" customHeight="1">
      <c r="A180" s="51"/>
      <c r="H180" s="25"/>
    </row>
    <row r="181" ht="14.25" customHeight="1">
      <c r="A181" s="51"/>
      <c r="H181" s="25"/>
    </row>
    <row r="182" ht="14.25" customHeight="1">
      <c r="A182" s="51"/>
      <c r="H182" s="25"/>
    </row>
    <row r="183" ht="14.25" customHeight="1">
      <c r="A183" s="51"/>
      <c r="H183" s="25"/>
    </row>
    <row r="184" ht="14.25" customHeight="1">
      <c r="A184" s="51"/>
      <c r="H184" s="25"/>
    </row>
    <row r="185" ht="14.25" customHeight="1">
      <c r="A185" s="51"/>
      <c r="H185" s="25"/>
    </row>
    <row r="186" ht="14.25" customHeight="1">
      <c r="A186" s="51"/>
      <c r="H186" s="25"/>
    </row>
    <row r="187" ht="14.25" customHeight="1">
      <c r="A187" s="51"/>
      <c r="H187" s="25"/>
    </row>
    <row r="188" ht="14.25" customHeight="1">
      <c r="A188" s="51"/>
      <c r="H188" s="25"/>
    </row>
    <row r="189" ht="14.25" customHeight="1">
      <c r="A189" s="51"/>
      <c r="H189" s="25"/>
    </row>
    <row r="190" ht="14.25" customHeight="1">
      <c r="A190" s="51"/>
      <c r="H190" s="25"/>
    </row>
    <row r="191" ht="14.25" customHeight="1">
      <c r="A191" s="51"/>
      <c r="H191" s="25"/>
    </row>
    <row r="192" ht="14.25" customHeight="1">
      <c r="A192" s="51"/>
      <c r="H192" s="25"/>
    </row>
    <row r="193" ht="14.25" customHeight="1">
      <c r="A193" s="51"/>
      <c r="H193" s="25"/>
    </row>
    <row r="194" ht="14.25" customHeight="1">
      <c r="A194" s="51"/>
      <c r="H194" s="25"/>
    </row>
    <row r="195" ht="14.25" customHeight="1">
      <c r="A195" s="51"/>
      <c r="H195" s="25"/>
    </row>
    <row r="196" ht="14.25" customHeight="1">
      <c r="A196" s="51"/>
      <c r="H196" s="25"/>
    </row>
    <row r="197" ht="14.25" customHeight="1">
      <c r="A197" s="51"/>
      <c r="H197" s="25"/>
    </row>
    <row r="198" ht="14.25" customHeight="1">
      <c r="A198" s="51"/>
      <c r="H198" s="25"/>
    </row>
    <row r="199" ht="14.25" customHeight="1">
      <c r="A199" s="51"/>
      <c r="H199" s="25"/>
    </row>
    <row r="200" ht="14.25" customHeight="1">
      <c r="A200" s="51"/>
      <c r="H200" s="25"/>
    </row>
    <row r="201" ht="14.25" customHeight="1">
      <c r="A201" s="51"/>
      <c r="H201" s="25"/>
    </row>
    <row r="202" ht="14.25" customHeight="1">
      <c r="A202" s="51"/>
      <c r="H202" s="25"/>
    </row>
    <row r="203" ht="14.25" customHeight="1">
      <c r="A203" s="51"/>
      <c r="H203" s="25"/>
    </row>
    <row r="204" ht="14.25" customHeight="1">
      <c r="A204" s="51"/>
      <c r="H204" s="25"/>
    </row>
    <row r="205" ht="14.25" customHeight="1">
      <c r="A205" s="51"/>
      <c r="H205" s="25"/>
    </row>
    <row r="206" ht="14.25" customHeight="1">
      <c r="A206" s="51"/>
      <c r="H206" s="25"/>
    </row>
    <row r="207" ht="14.25" customHeight="1">
      <c r="A207" s="51"/>
      <c r="H207" s="25"/>
    </row>
    <row r="208" ht="14.25" customHeight="1">
      <c r="A208" s="51"/>
      <c r="H208" s="25"/>
    </row>
    <row r="209" ht="14.25" customHeight="1">
      <c r="A209" s="51"/>
      <c r="H209" s="25"/>
    </row>
    <row r="210" ht="14.25" customHeight="1">
      <c r="A210" s="51"/>
      <c r="H210" s="25"/>
    </row>
    <row r="211" ht="14.25" customHeight="1">
      <c r="A211" s="51"/>
      <c r="H211" s="25"/>
    </row>
    <row r="212" ht="14.25" customHeight="1">
      <c r="A212" s="51"/>
      <c r="H212" s="25"/>
    </row>
    <row r="213" ht="14.25" customHeight="1">
      <c r="A213" s="51"/>
      <c r="H213" s="25"/>
    </row>
    <row r="214" ht="14.25" customHeight="1">
      <c r="A214" s="51"/>
      <c r="H214" s="25"/>
    </row>
    <row r="215" ht="14.25" customHeight="1">
      <c r="A215" s="51"/>
      <c r="H215" s="25"/>
    </row>
    <row r="216" ht="14.25" customHeight="1">
      <c r="A216" s="51"/>
      <c r="H216" s="25"/>
    </row>
    <row r="217" ht="14.25" customHeight="1">
      <c r="A217" s="51"/>
      <c r="H217" s="25"/>
    </row>
    <row r="218" ht="14.25" customHeight="1">
      <c r="A218" s="51"/>
      <c r="H218" s="25"/>
    </row>
    <row r="219" ht="14.25" customHeight="1">
      <c r="A219" s="51"/>
      <c r="H219" s="25"/>
    </row>
    <row r="220" ht="14.25" customHeight="1">
      <c r="A220" s="51"/>
      <c r="H220" s="25"/>
    </row>
    <row r="221" ht="14.25" customHeight="1">
      <c r="A221" s="51"/>
      <c r="H221" s="25"/>
    </row>
    <row r="222" ht="14.25" customHeight="1">
      <c r="A222" s="51"/>
      <c r="H222" s="25"/>
    </row>
    <row r="223" ht="14.25" customHeight="1">
      <c r="A223" s="51"/>
      <c r="H223" s="25"/>
    </row>
    <row r="224" ht="14.25" customHeight="1">
      <c r="A224" s="51"/>
      <c r="H224" s="25"/>
    </row>
    <row r="225" ht="14.25" customHeight="1">
      <c r="A225" s="51"/>
      <c r="H225" s="25"/>
    </row>
    <row r="226" ht="14.25" customHeight="1">
      <c r="A226" s="51"/>
      <c r="H226" s="25"/>
    </row>
    <row r="227" ht="14.25" customHeight="1">
      <c r="A227" s="51"/>
      <c r="H227" s="25"/>
    </row>
    <row r="228" ht="14.25" customHeight="1">
      <c r="A228" s="51"/>
      <c r="H228" s="25"/>
    </row>
    <row r="229" ht="14.25" customHeight="1">
      <c r="A229" s="51"/>
      <c r="H229" s="25"/>
    </row>
    <row r="230" ht="14.25" customHeight="1">
      <c r="A230" s="51"/>
      <c r="H230" s="25"/>
    </row>
    <row r="231" ht="14.25" customHeight="1">
      <c r="A231" s="51"/>
      <c r="H231" s="25"/>
    </row>
    <row r="232" ht="14.25" customHeight="1">
      <c r="A232" s="51"/>
      <c r="H232" s="25"/>
    </row>
    <row r="233" ht="14.25" customHeight="1">
      <c r="A233" s="51"/>
      <c r="H233" s="25"/>
    </row>
    <row r="234" ht="14.25" customHeight="1">
      <c r="A234" s="51"/>
      <c r="H234" s="25"/>
    </row>
    <row r="235" ht="14.25" customHeight="1">
      <c r="A235" s="51"/>
      <c r="H235" s="25"/>
    </row>
    <row r="236" ht="14.25" customHeight="1">
      <c r="A236" s="51"/>
      <c r="H236" s="25"/>
    </row>
    <row r="237" ht="14.25" customHeight="1">
      <c r="A237" s="51"/>
      <c r="H237" s="25"/>
    </row>
    <row r="238" ht="14.25" customHeight="1">
      <c r="A238" s="51"/>
      <c r="H238" s="25"/>
    </row>
    <row r="239" ht="14.25" customHeight="1">
      <c r="A239" s="51"/>
      <c r="H239" s="25"/>
    </row>
    <row r="240" ht="14.25" customHeight="1">
      <c r="A240" s="51"/>
      <c r="H240" s="25"/>
    </row>
    <row r="241" ht="14.25" customHeight="1">
      <c r="A241" s="51"/>
      <c r="H241" s="25"/>
    </row>
    <row r="242" ht="14.25" customHeight="1">
      <c r="A242" s="51"/>
      <c r="H242" s="25"/>
    </row>
    <row r="243" ht="14.25" customHeight="1">
      <c r="A243" s="51"/>
      <c r="H243" s="25"/>
    </row>
    <row r="244" ht="14.25" customHeight="1">
      <c r="A244" s="51"/>
      <c r="H244" s="25"/>
    </row>
    <row r="245" ht="14.25" customHeight="1">
      <c r="A245" s="51"/>
      <c r="H245" s="25"/>
    </row>
    <row r="246" ht="14.25" customHeight="1">
      <c r="A246" s="51"/>
      <c r="H246" s="25"/>
    </row>
    <row r="247" ht="14.25" customHeight="1">
      <c r="A247" s="51"/>
      <c r="H247" s="25"/>
    </row>
    <row r="248" ht="14.25" customHeight="1">
      <c r="A248" s="51"/>
      <c r="H248" s="25"/>
    </row>
    <row r="249" ht="14.25" customHeight="1">
      <c r="A249" s="51"/>
      <c r="H249" s="25"/>
    </row>
    <row r="250" ht="14.25" customHeight="1">
      <c r="A250" s="51"/>
      <c r="H250" s="25"/>
    </row>
    <row r="251" ht="14.25" customHeight="1">
      <c r="A251" s="51"/>
      <c r="H251" s="25"/>
    </row>
    <row r="252" ht="14.25" customHeight="1">
      <c r="A252" s="51"/>
      <c r="H252" s="25"/>
    </row>
    <row r="253" ht="14.25" customHeight="1">
      <c r="A253" s="51"/>
      <c r="H253" s="25"/>
    </row>
    <row r="254" ht="14.25" customHeight="1">
      <c r="A254" s="51"/>
      <c r="H254" s="25"/>
    </row>
    <row r="255" ht="14.25" customHeight="1">
      <c r="A255" s="51"/>
      <c r="H255" s="25"/>
    </row>
    <row r="256" ht="14.25" customHeight="1">
      <c r="A256" s="51"/>
      <c r="H256" s="25"/>
    </row>
    <row r="257" ht="14.25" customHeight="1">
      <c r="A257" s="51"/>
      <c r="H257" s="25"/>
    </row>
    <row r="258" ht="14.25" customHeight="1">
      <c r="A258" s="51"/>
      <c r="H258" s="25"/>
    </row>
    <row r="259" ht="14.25" customHeight="1">
      <c r="A259" s="51"/>
      <c r="H259" s="25"/>
    </row>
    <row r="260" ht="14.25" customHeight="1">
      <c r="A260" s="51"/>
      <c r="H260" s="25"/>
    </row>
    <row r="261" ht="14.25" customHeight="1">
      <c r="A261" s="51"/>
      <c r="H261" s="25"/>
    </row>
    <row r="262" ht="14.25" customHeight="1">
      <c r="A262" s="51"/>
      <c r="H262" s="25"/>
    </row>
    <row r="263" ht="14.25" customHeight="1">
      <c r="A263" s="51"/>
      <c r="H263" s="25"/>
    </row>
    <row r="264" ht="14.25" customHeight="1">
      <c r="A264" s="51"/>
      <c r="H264" s="25"/>
    </row>
    <row r="265" ht="14.25" customHeight="1">
      <c r="A265" s="51"/>
      <c r="H265" s="25"/>
    </row>
    <row r="266" ht="14.25" customHeight="1">
      <c r="A266" s="51"/>
      <c r="H266" s="25"/>
    </row>
    <row r="267" ht="14.25" customHeight="1">
      <c r="A267" s="51"/>
      <c r="H267" s="25"/>
    </row>
    <row r="268" ht="14.25" customHeight="1">
      <c r="A268" s="51"/>
      <c r="H268" s="25"/>
    </row>
    <row r="269" ht="14.25" customHeight="1">
      <c r="A269" s="51"/>
      <c r="H269" s="25"/>
    </row>
    <row r="270" ht="14.25" customHeight="1">
      <c r="A270" s="51"/>
      <c r="H270" s="25"/>
    </row>
    <row r="271" ht="14.25" customHeight="1">
      <c r="A271" s="51"/>
      <c r="H271" s="25"/>
    </row>
    <row r="272" ht="14.25" customHeight="1">
      <c r="A272" s="51"/>
      <c r="H272" s="25"/>
    </row>
    <row r="273" ht="14.25" customHeight="1">
      <c r="A273" s="51"/>
      <c r="H273" s="25"/>
    </row>
    <row r="274" ht="14.25" customHeight="1">
      <c r="A274" s="51"/>
      <c r="H274" s="25"/>
    </row>
    <row r="275" ht="14.25" customHeight="1">
      <c r="A275" s="51"/>
      <c r="H275" s="25"/>
    </row>
    <row r="276" ht="14.25" customHeight="1">
      <c r="A276" s="51"/>
      <c r="H276" s="25"/>
    </row>
    <row r="277" ht="14.25" customHeight="1">
      <c r="A277" s="51"/>
      <c r="H277" s="25"/>
    </row>
    <row r="278" ht="14.25" customHeight="1">
      <c r="A278" s="51"/>
      <c r="H278" s="25"/>
    </row>
    <row r="279" ht="14.25" customHeight="1">
      <c r="A279" s="51"/>
      <c r="H279" s="25"/>
    </row>
    <row r="280" ht="14.25" customHeight="1">
      <c r="A280" s="51"/>
      <c r="H280" s="25"/>
    </row>
    <row r="281" ht="14.25" customHeight="1">
      <c r="A281" s="51"/>
      <c r="H281" s="25"/>
    </row>
    <row r="282" ht="14.25" customHeight="1">
      <c r="A282" s="51"/>
      <c r="H282" s="25"/>
    </row>
    <row r="283" ht="14.25" customHeight="1">
      <c r="A283" s="51"/>
      <c r="H283" s="25"/>
    </row>
    <row r="284" ht="14.25" customHeight="1">
      <c r="A284" s="51"/>
      <c r="H284" s="25"/>
    </row>
    <row r="285" ht="14.25" customHeight="1">
      <c r="A285" s="51"/>
      <c r="H285" s="25"/>
    </row>
    <row r="286" ht="14.25" customHeight="1">
      <c r="A286" s="51"/>
      <c r="H286" s="25"/>
    </row>
    <row r="287" ht="14.25" customHeight="1">
      <c r="A287" s="51"/>
      <c r="H287" s="25"/>
    </row>
    <row r="288" ht="14.25" customHeight="1">
      <c r="A288" s="51"/>
      <c r="H288" s="25"/>
    </row>
    <row r="289" ht="14.25" customHeight="1">
      <c r="A289" s="51"/>
      <c r="H289" s="25"/>
    </row>
    <row r="290" ht="14.25" customHeight="1">
      <c r="A290" s="51"/>
      <c r="H290" s="25"/>
    </row>
    <row r="291" ht="14.25" customHeight="1">
      <c r="A291" s="51"/>
      <c r="H291" s="25"/>
    </row>
    <row r="292" ht="14.25" customHeight="1">
      <c r="A292" s="51"/>
      <c r="H292" s="25"/>
    </row>
    <row r="293" ht="14.25" customHeight="1">
      <c r="A293" s="51"/>
      <c r="H293" s="25"/>
    </row>
    <row r="294" ht="14.25" customHeight="1">
      <c r="A294" s="51"/>
      <c r="H294" s="25"/>
    </row>
    <row r="295" ht="14.25" customHeight="1">
      <c r="A295" s="51"/>
      <c r="H295" s="25"/>
    </row>
    <row r="296" ht="14.25" customHeight="1">
      <c r="A296" s="51"/>
      <c r="H296" s="25"/>
    </row>
    <row r="297" ht="14.25" customHeight="1">
      <c r="A297" s="51"/>
      <c r="H297" s="25"/>
    </row>
    <row r="298" ht="14.25" customHeight="1">
      <c r="A298" s="51"/>
      <c r="H298" s="25"/>
    </row>
    <row r="299" ht="14.25" customHeight="1">
      <c r="A299" s="51"/>
      <c r="H299" s="25"/>
    </row>
    <row r="300" ht="14.25" customHeight="1">
      <c r="A300" s="51"/>
      <c r="H300" s="25"/>
    </row>
    <row r="301" ht="14.25" customHeight="1">
      <c r="A301" s="51"/>
      <c r="H301" s="25"/>
    </row>
    <row r="302" ht="14.25" customHeight="1">
      <c r="A302" s="51"/>
      <c r="H302" s="25"/>
    </row>
    <row r="303" ht="14.25" customHeight="1">
      <c r="A303" s="51"/>
      <c r="H303" s="25"/>
    </row>
    <row r="304" ht="14.25" customHeight="1">
      <c r="A304" s="51"/>
      <c r="H304" s="25"/>
    </row>
    <row r="305" ht="14.25" customHeight="1">
      <c r="A305" s="51"/>
      <c r="H305" s="25"/>
    </row>
    <row r="306" ht="14.25" customHeight="1">
      <c r="A306" s="51"/>
      <c r="H306" s="25"/>
    </row>
    <row r="307" ht="14.25" customHeight="1">
      <c r="A307" s="51"/>
      <c r="H307" s="25"/>
    </row>
    <row r="308" ht="14.25" customHeight="1">
      <c r="A308" s="51"/>
      <c r="H308" s="25"/>
    </row>
    <row r="309" ht="14.25" customHeight="1">
      <c r="A309" s="51"/>
      <c r="H309" s="25"/>
    </row>
    <row r="310" ht="14.25" customHeight="1">
      <c r="A310" s="51"/>
      <c r="H310" s="25"/>
    </row>
    <row r="311" ht="14.25" customHeight="1">
      <c r="A311" s="51"/>
      <c r="H311" s="25"/>
    </row>
    <row r="312" ht="14.25" customHeight="1">
      <c r="A312" s="51"/>
      <c r="H312" s="25"/>
    </row>
    <row r="313" ht="14.25" customHeight="1">
      <c r="A313" s="51"/>
      <c r="H313" s="25"/>
    </row>
    <row r="314" ht="14.25" customHeight="1">
      <c r="A314" s="51"/>
      <c r="H314" s="25"/>
    </row>
    <row r="315" ht="14.25" customHeight="1">
      <c r="A315" s="51"/>
      <c r="H315" s="25"/>
    </row>
    <row r="316" ht="14.25" customHeight="1">
      <c r="A316" s="51"/>
      <c r="H316" s="25"/>
    </row>
    <row r="317" ht="14.25" customHeight="1">
      <c r="A317" s="51"/>
      <c r="H317" s="25"/>
    </row>
    <row r="318" ht="14.25" customHeight="1">
      <c r="A318" s="51"/>
      <c r="H318" s="25"/>
    </row>
    <row r="319" ht="14.25" customHeight="1">
      <c r="A319" s="51"/>
      <c r="H319" s="25"/>
    </row>
    <row r="320" ht="14.25" customHeight="1">
      <c r="A320" s="51"/>
      <c r="H320" s="25"/>
    </row>
    <row r="321" ht="14.25" customHeight="1">
      <c r="A321" s="51"/>
      <c r="H321" s="25"/>
    </row>
    <row r="322" ht="14.25" customHeight="1">
      <c r="A322" s="51"/>
      <c r="H322" s="25"/>
    </row>
    <row r="323" ht="14.25" customHeight="1">
      <c r="A323" s="51"/>
      <c r="H323" s="25"/>
    </row>
    <row r="324" ht="14.25" customHeight="1">
      <c r="A324" s="51"/>
      <c r="H324" s="25"/>
    </row>
    <row r="325" ht="14.25" customHeight="1">
      <c r="A325" s="51"/>
      <c r="H325" s="25"/>
    </row>
    <row r="326" ht="14.25" customHeight="1">
      <c r="A326" s="51"/>
      <c r="H326" s="25"/>
    </row>
    <row r="327" ht="14.25" customHeight="1">
      <c r="A327" s="51"/>
      <c r="H327" s="25"/>
    </row>
    <row r="328" ht="14.25" customHeight="1">
      <c r="A328" s="51"/>
      <c r="H328" s="25"/>
    </row>
    <row r="329" ht="14.25" customHeight="1">
      <c r="A329" s="51"/>
      <c r="H329" s="25"/>
    </row>
    <row r="330" ht="14.25" customHeight="1">
      <c r="A330" s="51"/>
      <c r="H330" s="25"/>
    </row>
    <row r="331" ht="14.25" customHeight="1">
      <c r="A331" s="51"/>
      <c r="H331" s="25"/>
    </row>
    <row r="332" ht="14.25" customHeight="1">
      <c r="A332" s="51"/>
      <c r="H332" s="25"/>
    </row>
    <row r="333" ht="14.25" customHeight="1">
      <c r="A333" s="51"/>
      <c r="H333" s="25"/>
    </row>
    <row r="334" ht="14.25" customHeight="1">
      <c r="A334" s="51"/>
      <c r="H334" s="25"/>
    </row>
    <row r="335" ht="14.25" customHeight="1">
      <c r="A335" s="51"/>
      <c r="H335" s="25"/>
    </row>
    <row r="336" ht="14.25" customHeight="1">
      <c r="A336" s="51"/>
      <c r="H336" s="25"/>
    </row>
    <row r="337" ht="14.25" customHeight="1">
      <c r="A337" s="51"/>
      <c r="H337" s="25"/>
    </row>
    <row r="338" ht="14.25" customHeight="1">
      <c r="A338" s="51"/>
      <c r="H338" s="25"/>
    </row>
    <row r="339" ht="14.25" customHeight="1">
      <c r="A339" s="51"/>
      <c r="H339" s="25"/>
    </row>
    <row r="340" ht="14.25" customHeight="1">
      <c r="A340" s="51"/>
      <c r="H340" s="25"/>
    </row>
    <row r="341" ht="14.25" customHeight="1">
      <c r="A341" s="51"/>
      <c r="H341" s="25"/>
    </row>
    <row r="342" ht="14.25" customHeight="1">
      <c r="A342" s="51"/>
      <c r="H342" s="25"/>
    </row>
    <row r="343" ht="14.25" customHeight="1">
      <c r="A343" s="51"/>
      <c r="H343" s="25"/>
    </row>
    <row r="344" ht="14.25" customHeight="1">
      <c r="A344" s="51"/>
      <c r="H344" s="25"/>
    </row>
    <row r="345" ht="14.25" customHeight="1">
      <c r="A345" s="51"/>
      <c r="H345" s="25"/>
    </row>
    <row r="346" ht="14.25" customHeight="1">
      <c r="A346" s="51"/>
      <c r="H346" s="25"/>
    </row>
    <row r="347" ht="14.25" customHeight="1">
      <c r="A347" s="51"/>
      <c r="H347" s="25"/>
    </row>
    <row r="348" ht="14.25" customHeight="1">
      <c r="A348" s="51"/>
      <c r="H348" s="25"/>
    </row>
    <row r="349" ht="14.25" customHeight="1">
      <c r="A349" s="51"/>
      <c r="H349" s="25"/>
    </row>
    <row r="350" ht="14.25" customHeight="1">
      <c r="A350" s="51"/>
      <c r="H350" s="25"/>
    </row>
    <row r="351" ht="14.25" customHeight="1">
      <c r="A351" s="51"/>
      <c r="H351" s="25"/>
    </row>
    <row r="352" ht="14.25" customHeight="1">
      <c r="A352" s="51"/>
      <c r="H352" s="25"/>
    </row>
    <row r="353" ht="14.25" customHeight="1">
      <c r="A353" s="51"/>
      <c r="H353" s="25"/>
    </row>
    <row r="354" ht="14.25" customHeight="1">
      <c r="A354" s="51"/>
      <c r="H354" s="25"/>
    </row>
    <row r="355" ht="14.25" customHeight="1">
      <c r="A355" s="51"/>
      <c r="H355" s="25"/>
    </row>
    <row r="356" ht="14.25" customHeight="1">
      <c r="A356" s="51"/>
      <c r="H356" s="25"/>
    </row>
    <row r="357" ht="14.25" customHeight="1">
      <c r="A357" s="51"/>
      <c r="H357" s="25"/>
    </row>
    <row r="358" ht="14.25" customHeight="1">
      <c r="A358" s="51"/>
      <c r="H358" s="25"/>
    </row>
    <row r="359" ht="14.25" customHeight="1">
      <c r="A359" s="51"/>
      <c r="H359" s="25"/>
    </row>
    <row r="360" ht="14.25" customHeight="1">
      <c r="A360" s="51"/>
      <c r="H360" s="25"/>
    </row>
    <row r="361" ht="14.25" customHeight="1">
      <c r="A361" s="51"/>
      <c r="H361" s="25"/>
    </row>
    <row r="362" ht="14.25" customHeight="1">
      <c r="A362" s="51"/>
      <c r="H362" s="25"/>
    </row>
    <row r="363" ht="14.25" customHeight="1">
      <c r="A363" s="51"/>
      <c r="H363" s="25"/>
    </row>
    <row r="364" ht="14.25" customHeight="1">
      <c r="A364" s="51"/>
      <c r="H364" s="25"/>
    </row>
    <row r="365" ht="14.25" customHeight="1">
      <c r="A365" s="51"/>
      <c r="H365" s="25"/>
    </row>
    <row r="366" ht="14.25" customHeight="1">
      <c r="A366" s="51"/>
      <c r="H366" s="25"/>
    </row>
    <row r="367" ht="14.25" customHeight="1">
      <c r="A367" s="51"/>
      <c r="H367" s="25"/>
    </row>
    <row r="368" ht="14.25" customHeight="1">
      <c r="A368" s="51"/>
      <c r="H368" s="25"/>
    </row>
    <row r="369" ht="14.25" customHeight="1">
      <c r="A369" s="51"/>
      <c r="H369" s="25"/>
    </row>
    <row r="370" ht="14.25" customHeight="1">
      <c r="A370" s="51"/>
      <c r="H370" s="25"/>
    </row>
    <row r="371" ht="14.25" customHeight="1">
      <c r="A371" s="51"/>
      <c r="H371" s="25"/>
    </row>
    <row r="372" ht="14.25" customHeight="1">
      <c r="A372" s="51"/>
      <c r="H372" s="25"/>
    </row>
    <row r="373" ht="14.25" customHeight="1">
      <c r="A373" s="51"/>
      <c r="H373" s="25"/>
    </row>
    <row r="374" ht="14.25" customHeight="1">
      <c r="A374" s="51"/>
      <c r="H374" s="25"/>
    </row>
    <row r="375" ht="14.25" customHeight="1">
      <c r="A375" s="51"/>
      <c r="H375" s="25"/>
    </row>
    <row r="376" ht="14.25" customHeight="1">
      <c r="A376" s="51"/>
      <c r="H376" s="25"/>
    </row>
    <row r="377" ht="14.25" customHeight="1">
      <c r="A377" s="51"/>
      <c r="H377" s="25"/>
    </row>
    <row r="378" ht="14.25" customHeight="1">
      <c r="A378" s="51"/>
      <c r="H378" s="25"/>
    </row>
    <row r="379" ht="14.25" customHeight="1">
      <c r="A379" s="51"/>
      <c r="H379" s="25"/>
    </row>
    <row r="380" ht="14.25" customHeight="1">
      <c r="A380" s="51"/>
      <c r="H380" s="25"/>
    </row>
    <row r="381" ht="14.25" customHeight="1">
      <c r="A381" s="51"/>
      <c r="H381" s="25"/>
    </row>
    <row r="382" ht="14.25" customHeight="1">
      <c r="A382" s="51"/>
      <c r="H382" s="25"/>
    </row>
    <row r="383" ht="14.25" customHeight="1">
      <c r="A383" s="51"/>
      <c r="H383" s="25"/>
    </row>
    <row r="384" ht="14.25" customHeight="1">
      <c r="A384" s="51"/>
      <c r="H384" s="25"/>
    </row>
    <row r="385" ht="14.25" customHeight="1">
      <c r="A385" s="51"/>
      <c r="H385" s="25"/>
    </row>
    <row r="386" ht="14.25" customHeight="1">
      <c r="A386" s="51"/>
      <c r="H386" s="25"/>
    </row>
    <row r="387" ht="14.25" customHeight="1">
      <c r="A387" s="51"/>
      <c r="H387" s="25"/>
    </row>
    <row r="388" ht="14.25" customHeight="1">
      <c r="A388" s="51"/>
      <c r="H388" s="25"/>
    </row>
    <row r="389" ht="14.25" customHeight="1">
      <c r="A389" s="51"/>
      <c r="H389" s="25"/>
    </row>
    <row r="390" ht="14.25" customHeight="1">
      <c r="A390" s="51"/>
      <c r="H390" s="25"/>
    </row>
    <row r="391" ht="14.25" customHeight="1">
      <c r="A391" s="51"/>
      <c r="H391" s="25"/>
    </row>
    <row r="392" ht="14.25" customHeight="1">
      <c r="A392" s="51"/>
      <c r="H392" s="25"/>
    </row>
    <row r="393" ht="14.25" customHeight="1">
      <c r="A393" s="51"/>
      <c r="H393" s="25"/>
    </row>
    <row r="394" ht="14.25" customHeight="1">
      <c r="A394" s="51"/>
      <c r="H394" s="25"/>
    </row>
    <row r="395" ht="14.25" customHeight="1">
      <c r="A395" s="51"/>
      <c r="H395" s="25"/>
    </row>
    <row r="396" ht="14.25" customHeight="1">
      <c r="A396" s="51"/>
      <c r="H396" s="25"/>
    </row>
    <row r="397" ht="14.25" customHeight="1">
      <c r="A397" s="51"/>
      <c r="H397" s="25"/>
    </row>
    <row r="398" ht="14.25" customHeight="1">
      <c r="A398" s="51"/>
      <c r="H398" s="25"/>
    </row>
    <row r="399" ht="14.25" customHeight="1">
      <c r="A399" s="51"/>
      <c r="H399" s="25"/>
    </row>
    <row r="400" ht="14.25" customHeight="1">
      <c r="A400" s="51"/>
      <c r="H400" s="25"/>
    </row>
    <row r="401" ht="14.25" customHeight="1">
      <c r="A401" s="51"/>
      <c r="H401" s="25"/>
    </row>
    <row r="402" ht="14.25" customHeight="1">
      <c r="A402" s="51"/>
      <c r="H402" s="25"/>
    </row>
    <row r="403" ht="14.25" customHeight="1">
      <c r="A403" s="51"/>
      <c r="H403" s="25"/>
    </row>
    <row r="404" ht="14.25" customHeight="1">
      <c r="A404" s="51"/>
      <c r="H404" s="25"/>
    </row>
    <row r="405" ht="14.25" customHeight="1">
      <c r="A405" s="51"/>
      <c r="H405" s="25"/>
    </row>
    <row r="406" ht="14.25" customHeight="1">
      <c r="A406" s="51"/>
      <c r="H406" s="25"/>
    </row>
    <row r="407" ht="14.25" customHeight="1">
      <c r="A407" s="51"/>
      <c r="H407" s="25"/>
    </row>
    <row r="408" ht="14.25" customHeight="1">
      <c r="A408" s="51"/>
      <c r="H408" s="25"/>
    </row>
    <row r="409" ht="14.25" customHeight="1">
      <c r="A409" s="51"/>
      <c r="H409" s="25"/>
    </row>
    <row r="410" ht="14.25" customHeight="1">
      <c r="A410" s="51"/>
      <c r="H410" s="25"/>
    </row>
    <row r="411" ht="14.25" customHeight="1">
      <c r="A411" s="51"/>
      <c r="H411" s="25"/>
    </row>
    <row r="412" ht="14.25" customHeight="1">
      <c r="A412" s="51"/>
      <c r="H412" s="25"/>
    </row>
    <row r="413" ht="14.25" customHeight="1">
      <c r="A413" s="51"/>
      <c r="H413" s="25"/>
    </row>
    <row r="414" ht="14.25" customHeight="1">
      <c r="A414" s="51"/>
      <c r="H414" s="25"/>
    </row>
    <row r="415" ht="14.25" customHeight="1">
      <c r="A415" s="51"/>
      <c r="H415" s="25"/>
    </row>
    <row r="416" ht="14.25" customHeight="1">
      <c r="A416" s="51"/>
      <c r="H416" s="25"/>
    </row>
    <row r="417" ht="14.25" customHeight="1">
      <c r="A417" s="51"/>
      <c r="H417" s="25"/>
    </row>
    <row r="418" ht="14.25" customHeight="1">
      <c r="A418" s="51"/>
      <c r="H418" s="25"/>
    </row>
    <row r="419" ht="14.25" customHeight="1">
      <c r="A419" s="51"/>
      <c r="H419" s="25"/>
    </row>
    <row r="420" ht="14.25" customHeight="1">
      <c r="A420" s="51"/>
      <c r="H420" s="25"/>
    </row>
    <row r="421" ht="14.25" customHeight="1">
      <c r="A421" s="51"/>
      <c r="H421" s="25"/>
    </row>
    <row r="422" ht="14.25" customHeight="1">
      <c r="A422" s="51"/>
      <c r="H422" s="25"/>
    </row>
    <row r="423" ht="14.25" customHeight="1">
      <c r="A423" s="51"/>
      <c r="H423" s="25"/>
    </row>
    <row r="424" ht="14.25" customHeight="1">
      <c r="A424" s="51"/>
      <c r="H424" s="25"/>
    </row>
    <row r="425" ht="14.25" customHeight="1">
      <c r="A425" s="51"/>
      <c r="H425" s="25"/>
    </row>
    <row r="426" ht="14.25" customHeight="1">
      <c r="A426" s="51"/>
      <c r="H426" s="25"/>
    </row>
    <row r="427" ht="14.25" customHeight="1">
      <c r="A427" s="51"/>
      <c r="H427" s="25"/>
    </row>
    <row r="428" ht="14.25" customHeight="1">
      <c r="A428" s="51"/>
      <c r="H428" s="25"/>
    </row>
    <row r="429" ht="14.25" customHeight="1">
      <c r="A429" s="51"/>
      <c r="H429" s="25"/>
    </row>
    <row r="430" ht="14.25" customHeight="1">
      <c r="A430" s="51"/>
      <c r="H430" s="25"/>
    </row>
    <row r="431" ht="14.25" customHeight="1">
      <c r="A431" s="51"/>
      <c r="H431" s="25"/>
    </row>
    <row r="432" ht="14.25" customHeight="1">
      <c r="A432" s="51"/>
      <c r="H432" s="25"/>
    </row>
    <row r="433" ht="14.25" customHeight="1">
      <c r="A433" s="51"/>
      <c r="H433" s="25"/>
    </row>
    <row r="434" ht="14.25" customHeight="1">
      <c r="A434" s="51"/>
      <c r="H434" s="25"/>
    </row>
    <row r="435" ht="14.25" customHeight="1">
      <c r="A435" s="51"/>
      <c r="H435" s="25"/>
    </row>
    <row r="436" ht="14.25" customHeight="1">
      <c r="A436" s="51"/>
      <c r="H436" s="25"/>
    </row>
    <row r="437" ht="14.25" customHeight="1">
      <c r="A437" s="51"/>
      <c r="H437" s="25"/>
    </row>
    <row r="438" ht="14.25" customHeight="1">
      <c r="A438" s="51"/>
      <c r="H438" s="25"/>
    </row>
    <row r="439" ht="14.25" customHeight="1">
      <c r="A439" s="51"/>
      <c r="H439" s="25"/>
    </row>
    <row r="440" ht="14.25" customHeight="1">
      <c r="A440" s="51"/>
      <c r="H440" s="25"/>
    </row>
    <row r="441" ht="14.25" customHeight="1">
      <c r="A441" s="51"/>
      <c r="H441" s="25"/>
    </row>
    <row r="442" ht="14.25" customHeight="1">
      <c r="A442" s="51"/>
      <c r="H442" s="25"/>
    </row>
    <row r="443" ht="14.25" customHeight="1">
      <c r="A443" s="51"/>
      <c r="H443" s="25"/>
    </row>
    <row r="444" ht="14.25" customHeight="1">
      <c r="A444" s="51"/>
      <c r="H444" s="25"/>
    </row>
    <row r="445" ht="14.25" customHeight="1">
      <c r="A445" s="51"/>
      <c r="H445" s="25"/>
    </row>
    <row r="446" ht="14.25" customHeight="1">
      <c r="A446" s="51"/>
      <c r="H446" s="25"/>
    </row>
    <row r="447" ht="14.25" customHeight="1">
      <c r="A447" s="51"/>
      <c r="H447" s="25"/>
    </row>
    <row r="448" ht="14.25" customHeight="1">
      <c r="A448" s="51"/>
      <c r="H448" s="25"/>
    </row>
    <row r="449" ht="14.25" customHeight="1">
      <c r="A449" s="51"/>
      <c r="H449" s="25"/>
    </row>
    <row r="450" ht="14.25" customHeight="1">
      <c r="A450" s="51"/>
      <c r="H450" s="25"/>
    </row>
    <row r="451" ht="14.25" customHeight="1">
      <c r="A451" s="51"/>
      <c r="H451" s="25"/>
    </row>
    <row r="452" ht="14.25" customHeight="1">
      <c r="A452" s="51"/>
      <c r="H452" s="25"/>
    </row>
    <row r="453" ht="14.25" customHeight="1">
      <c r="A453" s="51"/>
      <c r="H453" s="25"/>
    </row>
    <row r="454" ht="14.25" customHeight="1">
      <c r="A454" s="51"/>
      <c r="H454" s="25"/>
    </row>
    <row r="455" ht="14.25" customHeight="1">
      <c r="A455" s="51"/>
      <c r="H455" s="25"/>
    </row>
    <row r="456" ht="14.25" customHeight="1">
      <c r="A456" s="51"/>
      <c r="H456" s="25"/>
    </row>
    <row r="457" ht="14.25" customHeight="1">
      <c r="A457" s="51"/>
      <c r="H457" s="25"/>
    </row>
    <row r="458" ht="14.25" customHeight="1">
      <c r="A458" s="51"/>
      <c r="H458" s="25"/>
    </row>
    <row r="459" ht="14.25" customHeight="1">
      <c r="A459" s="51"/>
      <c r="H459" s="25"/>
    </row>
    <row r="460" ht="14.25" customHeight="1">
      <c r="A460" s="51"/>
      <c r="H460" s="25"/>
    </row>
    <row r="461" ht="14.25" customHeight="1">
      <c r="A461" s="51"/>
      <c r="H461" s="25"/>
    </row>
    <row r="462" ht="14.25" customHeight="1">
      <c r="A462" s="51"/>
      <c r="H462" s="25"/>
    </row>
    <row r="463" ht="14.25" customHeight="1">
      <c r="A463" s="51"/>
      <c r="H463" s="25"/>
    </row>
    <row r="464" ht="14.25" customHeight="1">
      <c r="A464" s="51"/>
      <c r="H464" s="25"/>
    </row>
    <row r="465" ht="14.25" customHeight="1">
      <c r="A465" s="51"/>
      <c r="H465" s="25"/>
    </row>
    <row r="466" ht="14.25" customHeight="1">
      <c r="A466" s="51"/>
      <c r="H466" s="25"/>
    </row>
    <row r="467" ht="14.25" customHeight="1">
      <c r="A467" s="51"/>
      <c r="H467" s="25"/>
    </row>
    <row r="468" ht="14.25" customHeight="1">
      <c r="A468" s="51"/>
      <c r="H468" s="25"/>
    </row>
    <row r="469" ht="14.25" customHeight="1">
      <c r="A469" s="51"/>
      <c r="H469" s="25"/>
    </row>
    <row r="470" ht="14.25" customHeight="1">
      <c r="A470" s="51"/>
      <c r="H470" s="25"/>
    </row>
    <row r="471" ht="14.25" customHeight="1">
      <c r="A471" s="51"/>
      <c r="H471" s="25"/>
    </row>
    <row r="472" ht="14.25" customHeight="1">
      <c r="A472" s="51"/>
      <c r="H472" s="25"/>
    </row>
    <row r="473" ht="14.25" customHeight="1">
      <c r="A473" s="51"/>
      <c r="H473" s="25"/>
    </row>
    <row r="474" ht="14.25" customHeight="1">
      <c r="A474" s="51"/>
      <c r="H474" s="25"/>
    </row>
    <row r="475" ht="14.25" customHeight="1">
      <c r="A475" s="51"/>
      <c r="H475" s="25"/>
    </row>
    <row r="476" ht="14.25" customHeight="1">
      <c r="A476" s="51"/>
      <c r="H476" s="25"/>
    </row>
    <row r="477" ht="14.25" customHeight="1">
      <c r="A477" s="51"/>
      <c r="H477" s="25"/>
    </row>
    <row r="478" ht="14.25" customHeight="1">
      <c r="A478" s="51"/>
      <c r="H478" s="25"/>
    </row>
    <row r="479" ht="14.25" customHeight="1">
      <c r="A479" s="51"/>
      <c r="H479" s="25"/>
    </row>
    <row r="480" ht="14.25" customHeight="1">
      <c r="A480" s="51"/>
      <c r="H480" s="25"/>
    </row>
    <row r="481" ht="14.25" customHeight="1">
      <c r="A481" s="51"/>
      <c r="H481" s="25"/>
    </row>
    <row r="482" ht="14.25" customHeight="1">
      <c r="A482" s="51"/>
      <c r="H482" s="25"/>
    </row>
    <row r="483" ht="14.25" customHeight="1">
      <c r="A483" s="51"/>
      <c r="H483" s="25"/>
    </row>
    <row r="484" ht="14.25" customHeight="1">
      <c r="A484" s="51"/>
      <c r="H484" s="25"/>
    </row>
    <row r="485" ht="14.25" customHeight="1">
      <c r="A485" s="51"/>
      <c r="H485" s="25"/>
    </row>
    <row r="486" ht="14.25" customHeight="1">
      <c r="A486" s="51"/>
      <c r="H486" s="25"/>
    </row>
    <row r="487" ht="14.25" customHeight="1">
      <c r="A487" s="51"/>
      <c r="H487" s="25"/>
    </row>
    <row r="488" ht="14.25" customHeight="1">
      <c r="A488" s="51"/>
      <c r="H488" s="25"/>
    </row>
    <row r="489" ht="14.25" customHeight="1">
      <c r="A489" s="51"/>
      <c r="H489" s="25"/>
    </row>
    <row r="490" ht="14.25" customHeight="1">
      <c r="A490" s="51"/>
      <c r="H490" s="25"/>
    </row>
    <row r="491" ht="14.25" customHeight="1">
      <c r="A491" s="51"/>
      <c r="H491" s="25"/>
    </row>
    <row r="492" ht="14.25" customHeight="1">
      <c r="A492" s="51"/>
      <c r="H492" s="25"/>
    </row>
    <row r="493" ht="14.25" customHeight="1">
      <c r="A493" s="51"/>
      <c r="H493" s="25"/>
    </row>
    <row r="494" ht="14.25" customHeight="1">
      <c r="A494" s="51"/>
      <c r="H494" s="25"/>
    </row>
    <row r="495" ht="14.25" customHeight="1">
      <c r="A495" s="51"/>
      <c r="H495" s="25"/>
    </row>
    <row r="496" ht="14.25" customHeight="1">
      <c r="A496" s="51"/>
      <c r="H496" s="25"/>
    </row>
    <row r="497" ht="14.25" customHeight="1">
      <c r="A497" s="51"/>
      <c r="H497" s="25"/>
    </row>
    <row r="498" ht="14.25" customHeight="1">
      <c r="A498" s="51"/>
      <c r="H498" s="25"/>
    </row>
    <row r="499" ht="14.25" customHeight="1">
      <c r="A499" s="51"/>
      <c r="H499" s="25"/>
    </row>
    <row r="500" ht="14.25" customHeight="1">
      <c r="A500" s="51"/>
      <c r="H500" s="25"/>
    </row>
    <row r="501" ht="14.25" customHeight="1">
      <c r="A501" s="51"/>
      <c r="H501" s="25"/>
    </row>
    <row r="502" ht="14.25" customHeight="1">
      <c r="A502" s="51"/>
      <c r="H502" s="25"/>
    </row>
    <row r="503" ht="14.25" customHeight="1">
      <c r="A503" s="51"/>
      <c r="H503" s="25"/>
    </row>
    <row r="504" ht="14.25" customHeight="1">
      <c r="A504" s="51"/>
      <c r="H504" s="25"/>
    </row>
    <row r="505" ht="14.25" customHeight="1">
      <c r="A505" s="51"/>
      <c r="H505" s="25"/>
    </row>
    <row r="506" ht="14.25" customHeight="1">
      <c r="A506" s="51"/>
      <c r="H506" s="25"/>
    </row>
    <row r="507" ht="14.25" customHeight="1">
      <c r="A507" s="51"/>
      <c r="H507" s="25"/>
    </row>
    <row r="508" ht="14.25" customHeight="1">
      <c r="A508" s="51"/>
      <c r="H508" s="25"/>
    </row>
    <row r="509" ht="14.25" customHeight="1">
      <c r="A509" s="51"/>
      <c r="H509" s="25"/>
    </row>
    <row r="510" ht="14.25" customHeight="1">
      <c r="A510" s="51"/>
      <c r="H510" s="25"/>
    </row>
    <row r="511" ht="14.25" customHeight="1">
      <c r="A511" s="51"/>
      <c r="H511" s="25"/>
    </row>
    <row r="512" ht="14.25" customHeight="1">
      <c r="A512" s="51"/>
      <c r="H512" s="25"/>
    </row>
    <row r="513" ht="14.25" customHeight="1">
      <c r="A513" s="51"/>
      <c r="H513" s="25"/>
    </row>
    <row r="514" ht="14.25" customHeight="1">
      <c r="A514" s="51"/>
      <c r="H514" s="25"/>
    </row>
    <row r="515" ht="14.25" customHeight="1">
      <c r="A515" s="51"/>
      <c r="H515" s="25"/>
    </row>
    <row r="516" ht="14.25" customHeight="1">
      <c r="A516" s="51"/>
      <c r="H516" s="25"/>
    </row>
    <row r="517" ht="14.25" customHeight="1">
      <c r="A517" s="51"/>
      <c r="H517" s="25"/>
    </row>
    <row r="518" ht="14.25" customHeight="1">
      <c r="A518" s="51"/>
      <c r="H518" s="25"/>
    </row>
    <row r="519" ht="14.25" customHeight="1">
      <c r="A519" s="51"/>
      <c r="H519" s="25"/>
    </row>
    <row r="520" ht="14.25" customHeight="1">
      <c r="A520" s="51"/>
      <c r="H520" s="25"/>
    </row>
    <row r="521" ht="14.25" customHeight="1">
      <c r="A521" s="51"/>
      <c r="H521" s="25"/>
    </row>
    <row r="522" ht="14.25" customHeight="1">
      <c r="A522" s="51"/>
      <c r="H522" s="25"/>
    </row>
    <row r="523" ht="14.25" customHeight="1">
      <c r="A523" s="51"/>
      <c r="H523" s="25"/>
    </row>
    <row r="524" ht="14.25" customHeight="1">
      <c r="A524" s="51"/>
      <c r="H524" s="25"/>
    </row>
    <row r="525" ht="14.25" customHeight="1">
      <c r="A525" s="51"/>
      <c r="H525" s="25"/>
    </row>
    <row r="526" ht="14.25" customHeight="1">
      <c r="A526" s="51"/>
      <c r="H526" s="25"/>
    </row>
    <row r="527" ht="14.25" customHeight="1">
      <c r="A527" s="51"/>
      <c r="H527" s="25"/>
    </row>
    <row r="528" ht="14.25" customHeight="1">
      <c r="A528" s="51"/>
      <c r="H528" s="25"/>
    </row>
    <row r="529" ht="14.25" customHeight="1">
      <c r="A529" s="51"/>
      <c r="H529" s="25"/>
    </row>
    <row r="530" ht="14.25" customHeight="1">
      <c r="A530" s="51"/>
      <c r="H530" s="25"/>
    </row>
    <row r="531" ht="14.25" customHeight="1">
      <c r="A531" s="51"/>
      <c r="H531" s="25"/>
    </row>
    <row r="532" ht="14.25" customHeight="1">
      <c r="A532" s="51"/>
      <c r="H532" s="25"/>
    </row>
    <row r="533" ht="14.25" customHeight="1">
      <c r="A533" s="51"/>
      <c r="H533" s="25"/>
    </row>
    <row r="534" ht="14.25" customHeight="1">
      <c r="A534" s="51"/>
      <c r="H534" s="25"/>
    </row>
    <row r="535" ht="14.25" customHeight="1">
      <c r="A535" s="51"/>
      <c r="H535" s="25"/>
    </row>
    <row r="536" ht="14.25" customHeight="1">
      <c r="A536" s="51"/>
      <c r="H536" s="25"/>
    </row>
    <row r="537" ht="14.25" customHeight="1">
      <c r="A537" s="51"/>
      <c r="H537" s="25"/>
    </row>
    <row r="538" ht="14.25" customHeight="1">
      <c r="A538" s="51"/>
      <c r="H538" s="25"/>
    </row>
    <row r="539" ht="14.25" customHeight="1">
      <c r="A539" s="51"/>
      <c r="H539" s="25"/>
    </row>
    <row r="540" ht="14.25" customHeight="1">
      <c r="A540" s="51"/>
      <c r="H540" s="25"/>
    </row>
    <row r="541" ht="14.25" customHeight="1">
      <c r="A541" s="51"/>
      <c r="H541" s="25"/>
    </row>
    <row r="542" ht="14.25" customHeight="1">
      <c r="A542" s="51"/>
      <c r="H542" s="25"/>
    </row>
    <row r="543" ht="14.25" customHeight="1">
      <c r="A543" s="51"/>
      <c r="H543" s="25"/>
    </row>
    <row r="544" ht="14.25" customHeight="1">
      <c r="A544" s="51"/>
      <c r="H544" s="25"/>
    </row>
    <row r="545" ht="14.25" customHeight="1">
      <c r="A545" s="51"/>
      <c r="H545" s="25"/>
    </row>
    <row r="546" ht="14.25" customHeight="1">
      <c r="A546" s="51"/>
      <c r="H546" s="25"/>
    </row>
    <row r="547" ht="14.25" customHeight="1">
      <c r="A547" s="51"/>
      <c r="H547" s="25"/>
    </row>
    <row r="548" ht="14.25" customHeight="1">
      <c r="A548" s="51"/>
      <c r="H548" s="25"/>
    </row>
    <row r="549" ht="14.25" customHeight="1">
      <c r="A549" s="51"/>
      <c r="H549" s="25"/>
    </row>
    <row r="550" ht="14.25" customHeight="1">
      <c r="A550" s="51"/>
      <c r="H550" s="25"/>
    </row>
    <row r="551" ht="14.25" customHeight="1">
      <c r="A551" s="51"/>
      <c r="H551" s="25"/>
    </row>
    <row r="552" ht="14.25" customHeight="1">
      <c r="A552" s="51"/>
      <c r="H552" s="25"/>
    </row>
    <row r="553" ht="14.25" customHeight="1">
      <c r="A553" s="51"/>
      <c r="H553" s="25"/>
    </row>
    <row r="554" ht="14.25" customHeight="1">
      <c r="A554" s="51"/>
      <c r="H554" s="25"/>
    </row>
    <row r="555" ht="14.25" customHeight="1">
      <c r="A555" s="51"/>
      <c r="H555" s="25"/>
    </row>
    <row r="556" ht="14.25" customHeight="1">
      <c r="A556" s="51"/>
      <c r="H556" s="25"/>
    </row>
    <row r="557" ht="14.25" customHeight="1">
      <c r="A557" s="51"/>
      <c r="H557" s="25"/>
    </row>
    <row r="558" ht="14.25" customHeight="1">
      <c r="A558" s="51"/>
      <c r="H558" s="25"/>
    </row>
    <row r="559" ht="14.25" customHeight="1">
      <c r="A559" s="51"/>
      <c r="H559" s="25"/>
    </row>
    <row r="560" ht="14.25" customHeight="1">
      <c r="A560" s="51"/>
      <c r="H560" s="25"/>
    </row>
    <row r="561" ht="14.25" customHeight="1">
      <c r="A561" s="51"/>
      <c r="H561" s="25"/>
    </row>
    <row r="562" ht="14.25" customHeight="1">
      <c r="A562" s="51"/>
      <c r="H562" s="25"/>
    </row>
    <row r="563" ht="14.25" customHeight="1">
      <c r="A563" s="51"/>
      <c r="H563" s="25"/>
    </row>
    <row r="564" ht="14.25" customHeight="1">
      <c r="A564" s="51"/>
      <c r="H564" s="25"/>
    </row>
    <row r="565" ht="14.25" customHeight="1">
      <c r="A565" s="51"/>
      <c r="H565" s="25"/>
    </row>
    <row r="566" ht="14.25" customHeight="1">
      <c r="A566" s="51"/>
      <c r="H566" s="25"/>
    </row>
    <row r="567" ht="14.25" customHeight="1">
      <c r="A567" s="51"/>
      <c r="H567" s="25"/>
    </row>
    <row r="568" ht="14.25" customHeight="1">
      <c r="A568" s="51"/>
      <c r="H568" s="25"/>
    </row>
    <row r="569" ht="14.25" customHeight="1">
      <c r="A569" s="51"/>
      <c r="H569" s="25"/>
    </row>
    <row r="570" ht="14.25" customHeight="1">
      <c r="A570" s="51"/>
      <c r="H570" s="25"/>
    </row>
    <row r="571" ht="14.25" customHeight="1">
      <c r="A571" s="51"/>
      <c r="H571" s="25"/>
    </row>
    <row r="572" ht="14.25" customHeight="1">
      <c r="A572" s="51"/>
      <c r="H572" s="25"/>
    </row>
    <row r="573" ht="14.25" customHeight="1">
      <c r="A573" s="51"/>
      <c r="H573" s="25"/>
    </row>
    <row r="574" ht="14.25" customHeight="1">
      <c r="A574" s="51"/>
      <c r="H574" s="25"/>
    </row>
    <row r="575" ht="14.25" customHeight="1">
      <c r="A575" s="51"/>
      <c r="H575" s="25"/>
    </row>
    <row r="576" ht="14.25" customHeight="1">
      <c r="A576" s="51"/>
      <c r="H576" s="25"/>
    </row>
    <row r="577" ht="14.25" customHeight="1">
      <c r="A577" s="51"/>
      <c r="H577" s="25"/>
    </row>
    <row r="578" ht="14.25" customHeight="1">
      <c r="A578" s="51"/>
      <c r="H578" s="25"/>
    </row>
    <row r="579" ht="14.25" customHeight="1">
      <c r="A579" s="51"/>
      <c r="H579" s="25"/>
    </row>
    <row r="580" ht="14.25" customHeight="1">
      <c r="A580" s="51"/>
      <c r="H580" s="25"/>
    </row>
    <row r="581" ht="14.25" customHeight="1">
      <c r="A581" s="51"/>
      <c r="H581" s="25"/>
    </row>
    <row r="582" ht="14.25" customHeight="1">
      <c r="A582" s="51"/>
      <c r="H582" s="25"/>
    </row>
    <row r="583" ht="14.25" customHeight="1">
      <c r="A583" s="51"/>
      <c r="H583" s="25"/>
    </row>
    <row r="584" ht="14.25" customHeight="1">
      <c r="A584" s="51"/>
      <c r="H584" s="25"/>
    </row>
    <row r="585" ht="14.25" customHeight="1">
      <c r="A585" s="51"/>
      <c r="H585" s="25"/>
    </row>
    <row r="586" ht="14.25" customHeight="1">
      <c r="A586" s="51"/>
      <c r="H586" s="25"/>
    </row>
    <row r="587" ht="14.25" customHeight="1">
      <c r="A587" s="51"/>
      <c r="H587" s="25"/>
    </row>
    <row r="588" ht="14.25" customHeight="1">
      <c r="A588" s="51"/>
      <c r="H588" s="25"/>
    </row>
    <row r="589" ht="14.25" customHeight="1">
      <c r="A589" s="51"/>
      <c r="H589" s="25"/>
    </row>
    <row r="590" ht="14.25" customHeight="1">
      <c r="A590" s="51"/>
      <c r="H590" s="25"/>
    </row>
    <row r="591" ht="14.25" customHeight="1">
      <c r="A591" s="51"/>
      <c r="H591" s="25"/>
    </row>
    <row r="592" ht="14.25" customHeight="1">
      <c r="A592" s="51"/>
      <c r="H592" s="25"/>
    </row>
    <row r="593" ht="14.25" customHeight="1">
      <c r="A593" s="51"/>
      <c r="H593" s="25"/>
    </row>
    <row r="594" ht="14.25" customHeight="1">
      <c r="A594" s="51"/>
      <c r="H594" s="25"/>
    </row>
    <row r="595" ht="14.25" customHeight="1">
      <c r="A595" s="51"/>
      <c r="H595" s="25"/>
    </row>
    <row r="596" ht="14.25" customHeight="1">
      <c r="A596" s="51"/>
      <c r="H596" s="25"/>
    </row>
    <row r="597" ht="14.25" customHeight="1">
      <c r="A597" s="51"/>
      <c r="H597" s="25"/>
    </row>
    <row r="598" ht="14.25" customHeight="1">
      <c r="A598" s="51"/>
      <c r="H598" s="25"/>
    </row>
    <row r="599" ht="14.25" customHeight="1">
      <c r="A599" s="51"/>
      <c r="H599" s="25"/>
    </row>
    <row r="600" ht="14.25" customHeight="1">
      <c r="A600" s="51"/>
      <c r="H600" s="25"/>
    </row>
    <row r="601" ht="14.25" customHeight="1">
      <c r="A601" s="51"/>
      <c r="H601" s="25"/>
    </row>
    <row r="602" ht="14.25" customHeight="1">
      <c r="A602" s="51"/>
      <c r="H602" s="25"/>
    </row>
    <row r="603" ht="14.25" customHeight="1">
      <c r="A603" s="51"/>
      <c r="H603" s="25"/>
    </row>
    <row r="604" ht="14.25" customHeight="1">
      <c r="A604" s="51"/>
      <c r="H604" s="25"/>
    </row>
    <row r="605" ht="14.25" customHeight="1">
      <c r="A605" s="51"/>
      <c r="H605" s="25"/>
    </row>
    <row r="606" ht="14.25" customHeight="1">
      <c r="A606" s="51"/>
      <c r="H606" s="25"/>
    </row>
    <row r="607" ht="14.25" customHeight="1">
      <c r="A607" s="51"/>
      <c r="H607" s="25"/>
    </row>
    <row r="608" ht="14.25" customHeight="1">
      <c r="A608" s="51"/>
      <c r="H608" s="25"/>
    </row>
    <row r="609" ht="14.25" customHeight="1">
      <c r="A609" s="51"/>
      <c r="H609" s="25"/>
    </row>
    <row r="610" ht="14.25" customHeight="1">
      <c r="A610" s="51"/>
      <c r="H610" s="25"/>
    </row>
    <row r="611" ht="14.25" customHeight="1">
      <c r="A611" s="51"/>
      <c r="H611" s="25"/>
    </row>
    <row r="612" ht="14.25" customHeight="1">
      <c r="A612" s="51"/>
      <c r="H612" s="25"/>
    </row>
    <row r="613" ht="14.25" customHeight="1">
      <c r="A613" s="51"/>
      <c r="H613" s="25"/>
    </row>
    <row r="614" ht="14.25" customHeight="1">
      <c r="A614" s="51"/>
      <c r="H614" s="25"/>
    </row>
    <row r="615" ht="14.25" customHeight="1">
      <c r="A615" s="51"/>
      <c r="H615" s="25"/>
    </row>
    <row r="616" ht="14.25" customHeight="1">
      <c r="A616" s="51"/>
      <c r="H616" s="25"/>
    </row>
    <row r="617" ht="14.25" customHeight="1">
      <c r="A617" s="51"/>
      <c r="H617" s="25"/>
    </row>
    <row r="618" ht="14.25" customHeight="1">
      <c r="A618" s="51"/>
      <c r="H618" s="25"/>
    </row>
    <row r="619" ht="14.25" customHeight="1">
      <c r="A619" s="51"/>
      <c r="H619" s="25"/>
    </row>
    <row r="620" ht="14.25" customHeight="1">
      <c r="A620" s="51"/>
      <c r="H620" s="25"/>
    </row>
    <row r="621" ht="14.25" customHeight="1">
      <c r="A621" s="51"/>
      <c r="H621" s="25"/>
    </row>
    <row r="622" ht="14.25" customHeight="1">
      <c r="A622" s="51"/>
      <c r="H622" s="25"/>
    </row>
    <row r="623" ht="14.25" customHeight="1">
      <c r="A623" s="51"/>
      <c r="H623" s="25"/>
    </row>
    <row r="624" ht="14.25" customHeight="1">
      <c r="A624" s="51"/>
      <c r="H624" s="25"/>
    </row>
    <row r="625" ht="14.25" customHeight="1">
      <c r="A625" s="51"/>
      <c r="H625" s="25"/>
    </row>
    <row r="626" ht="14.25" customHeight="1">
      <c r="A626" s="51"/>
      <c r="H626" s="25"/>
    </row>
    <row r="627" ht="14.25" customHeight="1">
      <c r="A627" s="51"/>
      <c r="H627" s="25"/>
    </row>
    <row r="628" ht="14.25" customHeight="1">
      <c r="A628" s="51"/>
      <c r="H628" s="25"/>
    </row>
    <row r="629" ht="14.25" customHeight="1">
      <c r="A629" s="51"/>
      <c r="H629" s="25"/>
    </row>
    <row r="630" ht="14.25" customHeight="1">
      <c r="A630" s="51"/>
      <c r="H630" s="25"/>
    </row>
    <row r="631" ht="14.25" customHeight="1">
      <c r="A631" s="51"/>
      <c r="H631" s="25"/>
    </row>
    <row r="632" ht="14.25" customHeight="1">
      <c r="A632" s="51"/>
      <c r="H632" s="25"/>
    </row>
    <row r="633" ht="14.25" customHeight="1">
      <c r="A633" s="51"/>
      <c r="H633" s="25"/>
    </row>
    <row r="634" ht="14.25" customHeight="1">
      <c r="A634" s="51"/>
      <c r="H634" s="25"/>
    </row>
    <row r="635" ht="14.25" customHeight="1">
      <c r="A635" s="51"/>
      <c r="H635" s="25"/>
    </row>
    <row r="636" ht="14.25" customHeight="1">
      <c r="A636" s="51"/>
      <c r="H636" s="25"/>
    </row>
    <row r="637" ht="14.25" customHeight="1">
      <c r="A637" s="51"/>
      <c r="H637" s="25"/>
    </row>
    <row r="638" ht="14.25" customHeight="1">
      <c r="A638" s="51"/>
      <c r="H638" s="25"/>
    </row>
    <row r="639" ht="14.25" customHeight="1">
      <c r="A639" s="51"/>
      <c r="H639" s="25"/>
    </row>
    <row r="640" ht="14.25" customHeight="1">
      <c r="A640" s="51"/>
      <c r="H640" s="25"/>
    </row>
    <row r="641" ht="14.25" customHeight="1">
      <c r="A641" s="51"/>
      <c r="H641" s="25"/>
    </row>
    <row r="642" ht="14.25" customHeight="1">
      <c r="A642" s="51"/>
      <c r="H642" s="25"/>
    </row>
    <row r="643" ht="14.25" customHeight="1">
      <c r="A643" s="51"/>
      <c r="H643" s="25"/>
    </row>
    <row r="644" ht="14.25" customHeight="1">
      <c r="A644" s="51"/>
      <c r="H644" s="25"/>
    </row>
    <row r="645" ht="14.25" customHeight="1">
      <c r="A645" s="51"/>
      <c r="H645" s="25"/>
    </row>
    <row r="646" ht="14.25" customHeight="1">
      <c r="A646" s="51"/>
      <c r="H646" s="25"/>
    </row>
    <row r="647" ht="14.25" customHeight="1">
      <c r="A647" s="51"/>
      <c r="H647" s="25"/>
    </row>
    <row r="648" ht="14.25" customHeight="1">
      <c r="A648" s="51"/>
      <c r="H648" s="25"/>
    </row>
    <row r="649" ht="14.25" customHeight="1">
      <c r="A649" s="51"/>
      <c r="H649" s="25"/>
    </row>
    <row r="650" ht="14.25" customHeight="1">
      <c r="A650" s="51"/>
      <c r="H650" s="25"/>
    </row>
    <row r="651" ht="14.25" customHeight="1">
      <c r="A651" s="51"/>
      <c r="H651" s="25"/>
    </row>
    <row r="652" ht="14.25" customHeight="1">
      <c r="A652" s="51"/>
      <c r="H652" s="25"/>
    </row>
    <row r="653" ht="14.25" customHeight="1">
      <c r="A653" s="51"/>
      <c r="H653" s="25"/>
    </row>
    <row r="654" ht="14.25" customHeight="1">
      <c r="A654" s="51"/>
      <c r="H654" s="25"/>
    </row>
    <row r="655" ht="14.25" customHeight="1">
      <c r="A655" s="51"/>
      <c r="H655" s="25"/>
    </row>
    <row r="656" ht="14.25" customHeight="1">
      <c r="A656" s="51"/>
      <c r="H656" s="25"/>
    </row>
    <row r="657" ht="14.25" customHeight="1">
      <c r="A657" s="51"/>
      <c r="H657" s="25"/>
    </row>
    <row r="658" ht="14.25" customHeight="1">
      <c r="A658" s="51"/>
      <c r="H658" s="25"/>
    </row>
    <row r="659" ht="14.25" customHeight="1">
      <c r="A659" s="51"/>
      <c r="H659" s="25"/>
    </row>
    <row r="660" ht="14.25" customHeight="1">
      <c r="A660" s="51"/>
      <c r="H660" s="25"/>
    </row>
    <row r="661" ht="14.25" customHeight="1">
      <c r="A661" s="51"/>
      <c r="H661" s="25"/>
    </row>
    <row r="662" ht="14.25" customHeight="1">
      <c r="A662" s="51"/>
      <c r="H662" s="25"/>
    </row>
    <row r="663" ht="14.25" customHeight="1">
      <c r="A663" s="51"/>
      <c r="H663" s="25"/>
    </row>
    <row r="664" ht="14.25" customHeight="1">
      <c r="A664" s="51"/>
      <c r="H664" s="25"/>
    </row>
    <row r="665" ht="14.25" customHeight="1">
      <c r="A665" s="51"/>
      <c r="H665" s="25"/>
    </row>
    <row r="666" ht="14.25" customHeight="1">
      <c r="A666" s="51"/>
      <c r="H666" s="25"/>
    </row>
    <row r="667" ht="14.25" customHeight="1">
      <c r="A667" s="51"/>
      <c r="H667" s="25"/>
    </row>
    <row r="668" ht="14.25" customHeight="1">
      <c r="A668" s="51"/>
      <c r="H668" s="25"/>
    </row>
    <row r="669" ht="14.25" customHeight="1">
      <c r="A669" s="51"/>
      <c r="H669" s="25"/>
    </row>
    <row r="670" ht="14.25" customHeight="1">
      <c r="A670" s="51"/>
      <c r="H670" s="25"/>
    </row>
    <row r="671" ht="14.25" customHeight="1">
      <c r="A671" s="51"/>
      <c r="H671" s="25"/>
    </row>
    <row r="672" ht="14.25" customHeight="1">
      <c r="A672" s="51"/>
      <c r="H672" s="25"/>
    </row>
    <row r="673" ht="14.25" customHeight="1">
      <c r="A673" s="51"/>
      <c r="H673" s="25"/>
    </row>
    <row r="674" ht="14.25" customHeight="1">
      <c r="A674" s="51"/>
      <c r="H674" s="25"/>
    </row>
    <row r="675" ht="14.25" customHeight="1">
      <c r="A675" s="51"/>
      <c r="H675" s="25"/>
    </row>
    <row r="676" ht="14.25" customHeight="1">
      <c r="A676" s="51"/>
      <c r="H676" s="25"/>
    </row>
    <row r="677" ht="14.25" customHeight="1">
      <c r="A677" s="51"/>
      <c r="H677" s="25"/>
    </row>
    <row r="678" ht="14.25" customHeight="1">
      <c r="A678" s="51"/>
      <c r="H678" s="25"/>
    </row>
    <row r="679" ht="14.25" customHeight="1">
      <c r="A679" s="51"/>
      <c r="H679" s="25"/>
    </row>
    <row r="680" ht="14.25" customHeight="1">
      <c r="A680" s="51"/>
      <c r="H680" s="25"/>
    </row>
    <row r="681" ht="14.25" customHeight="1">
      <c r="A681" s="51"/>
      <c r="H681" s="25"/>
    </row>
    <row r="682" ht="14.25" customHeight="1">
      <c r="A682" s="51"/>
      <c r="H682" s="25"/>
    </row>
    <row r="683" ht="14.25" customHeight="1">
      <c r="A683" s="51"/>
      <c r="H683" s="25"/>
    </row>
    <row r="684" ht="14.25" customHeight="1">
      <c r="A684" s="51"/>
      <c r="H684" s="25"/>
    </row>
    <row r="685" ht="14.25" customHeight="1">
      <c r="A685" s="51"/>
      <c r="H685" s="25"/>
    </row>
    <row r="686" ht="14.25" customHeight="1">
      <c r="A686" s="51"/>
      <c r="H686" s="25"/>
    </row>
    <row r="687" ht="14.25" customHeight="1">
      <c r="A687" s="51"/>
      <c r="H687" s="25"/>
    </row>
    <row r="688" ht="14.25" customHeight="1">
      <c r="A688" s="51"/>
      <c r="H688" s="25"/>
    </row>
    <row r="689" ht="14.25" customHeight="1">
      <c r="A689" s="51"/>
      <c r="H689" s="25"/>
    </row>
    <row r="690" ht="14.25" customHeight="1">
      <c r="A690" s="51"/>
      <c r="H690" s="25"/>
    </row>
    <row r="691" ht="14.25" customHeight="1">
      <c r="A691" s="51"/>
      <c r="H691" s="25"/>
    </row>
    <row r="692" ht="14.25" customHeight="1">
      <c r="A692" s="51"/>
      <c r="H692" s="25"/>
    </row>
    <row r="693" ht="14.25" customHeight="1">
      <c r="A693" s="51"/>
      <c r="H693" s="25"/>
    </row>
    <row r="694" ht="14.25" customHeight="1">
      <c r="A694" s="51"/>
      <c r="H694" s="25"/>
    </row>
    <row r="695" ht="14.25" customHeight="1">
      <c r="A695" s="51"/>
      <c r="H695" s="25"/>
    </row>
    <row r="696" ht="14.25" customHeight="1">
      <c r="A696" s="51"/>
      <c r="H696" s="25"/>
    </row>
    <row r="697" ht="14.25" customHeight="1">
      <c r="A697" s="51"/>
      <c r="H697" s="25"/>
    </row>
    <row r="698" ht="14.25" customHeight="1">
      <c r="A698" s="51"/>
      <c r="H698" s="25"/>
    </row>
    <row r="699" ht="14.25" customHeight="1">
      <c r="A699" s="51"/>
      <c r="H699" s="25"/>
    </row>
    <row r="700" ht="14.25" customHeight="1">
      <c r="A700" s="51"/>
      <c r="H700" s="25"/>
    </row>
    <row r="701" ht="14.25" customHeight="1">
      <c r="A701" s="51"/>
      <c r="H701" s="25"/>
    </row>
    <row r="702" ht="14.25" customHeight="1">
      <c r="A702" s="51"/>
      <c r="H702" s="25"/>
    </row>
    <row r="703" ht="14.25" customHeight="1">
      <c r="A703" s="51"/>
      <c r="H703" s="25"/>
    </row>
    <row r="704" ht="14.25" customHeight="1">
      <c r="A704" s="51"/>
      <c r="H704" s="25"/>
    </row>
    <row r="705" ht="14.25" customHeight="1">
      <c r="A705" s="51"/>
      <c r="H705" s="25"/>
    </row>
    <row r="706" ht="14.25" customHeight="1">
      <c r="A706" s="51"/>
      <c r="H706" s="25"/>
    </row>
    <row r="707" ht="14.25" customHeight="1">
      <c r="A707" s="51"/>
      <c r="H707" s="25"/>
    </row>
    <row r="708" ht="14.25" customHeight="1">
      <c r="A708" s="51"/>
      <c r="H708" s="25"/>
    </row>
    <row r="709" ht="14.25" customHeight="1">
      <c r="A709" s="51"/>
      <c r="H709" s="25"/>
    </row>
    <row r="710" ht="14.25" customHeight="1">
      <c r="A710" s="51"/>
      <c r="H710" s="25"/>
    </row>
    <row r="711" ht="14.25" customHeight="1">
      <c r="A711" s="51"/>
      <c r="H711" s="25"/>
    </row>
    <row r="712" ht="14.25" customHeight="1">
      <c r="A712" s="51"/>
      <c r="H712" s="25"/>
    </row>
    <row r="713" ht="14.25" customHeight="1">
      <c r="A713" s="51"/>
      <c r="H713" s="25"/>
    </row>
    <row r="714" ht="14.25" customHeight="1">
      <c r="A714" s="51"/>
      <c r="H714" s="25"/>
    </row>
    <row r="715" ht="14.25" customHeight="1">
      <c r="A715" s="51"/>
      <c r="H715" s="25"/>
    </row>
    <row r="716" ht="14.25" customHeight="1">
      <c r="A716" s="51"/>
      <c r="H716" s="25"/>
    </row>
    <row r="717" ht="14.25" customHeight="1">
      <c r="A717" s="51"/>
      <c r="H717" s="25"/>
    </row>
    <row r="718" ht="14.25" customHeight="1">
      <c r="A718" s="51"/>
      <c r="H718" s="25"/>
    </row>
    <row r="719" ht="14.25" customHeight="1">
      <c r="A719" s="51"/>
      <c r="H719" s="25"/>
    </row>
    <row r="720" ht="14.25" customHeight="1">
      <c r="A720" s="51"/>
      <c r="H720" s="25"/>
    </row>
    <row r="721" ht="14.25" customHeight="1">
      <c r="A721" s="51"/>
      <c r="H721" s="25"/>
    </row>
    <row r="722" ht="14.25" customHeight="1">
      <c r="A722" s="51"/>
      <c r="H722" s="25"/>
    </row>
    <row r="723" ht="14.25" customHeight="1">
      <c r="A723" s="51"/>
      <c r="H723" s="25"/>
    </row>
    <row r="724" ht="14.25" customHeight="1">
      <c r="A724" s="51"/>
      <c r="H724" s="25"/>
    </row>
    <row r="725" ht="14.25" customHeight="1">
      <c r="A725" s="51"/>
      <c r="H725" s="25"/>
    </row>
    <row r="726" ht="14.25" customHeight="1">
      <c r="A726" s="51"/>
      <c r="H726" s="25"/>
    </row>
    <row r="727" ht="14.25" customHeight="1">
      <c r="A727" s="51"/>
      <c r="H727" s="25"/>
    </row>
    <row r="728" ht="14.25" customHeight="1">
      <c r="A728" s="51"/>
      <c r="H728" s="25"/>
    </row>
    <row r="729" ht="14.25" customHeight="1">
      <c r="A729" s="51"/>
      <c r="H729" s="25"/>
    </row>
    <row r="730" ht="14.25" customHeight="1">
      <c r="A730" s="51"/>
      <c r="H730" s="25"/>
    </row>
    <row r="731" ht="14.25" customHeight="1">
      <c r="A731" s="51"/>
      <c r="H731" s="25"/>
    </row>
    <row r="732" ht="14.25" customHeight="1">
      <c r="A732" s="51"/>
      <c r="H732" s="25"/>
    </row>
    <row r="733" ht="14.25" customHeight="1">
      <c r="A733" s="51"/>
      <c r="H733" s="25"/>
    </row>
    <row r="734" ht="14.25" customHeight="1">
      <c r="A734" s="51"/>
      <c r="H734" s="25"/>
    </row>
    <row r="735" ht="14.25" customHeight="1">
      <c r="A735" s="51"/>
      <c r="H735" s="25"/>
    </row>
    <row r="736" ht="14.25" customHeight="1">
      <c r="A736" s="51"/>
      <c r="H736" s="25"/>
    </row>
    <row r="737" ht="14.25" customHeight="1">
      <c r="A737" s="51"/>
      <c r="H737" s="25"/>
    </row>
    <row r="738" ht="14.25" customHeight="1">
      <c r="A738" s="51"/>
      <c r="H738" s="25"/>
    </row>
    <row r="739" ht="14.25" customHeight="1">
      <c r="A739" s="51"/>
      <c r="H739" s="25"/>
    </row>
    <row r="740" ht="14.25" customHeight="1">
      <c r="A740" s="51"/>
      <c r="H740" s="25"/>
    </row>
    <row r="741" ht="14.25" customHeight="1">
      <c r="A741" s="51"/>
      <c r="H741" s="25"/>
    </row>
    <row r="742" ht="14.25" customHeight="1">
      <c r="A742" s="51"/>
      <c r="H742" s="25"/>
    </row>
    <row r="743" ht="14.25" customHeight="1">
      <c r="A743" s="51"/>
      <c r="H743" s="25"/>
    </row>
    <row r="744" ht="14.25" customHeight="1">
      <c r="A744" s="51"/>
      <c r="H744" s="25"/>
    </row>
    <row r="745" ht="14.25" customHeight="1">
      <c r="A745" s="51"/>
      <c r="H745" s="25"/>
    </row>
    <row r="746" ht="14.25" customHeight="1">
      <c r="A746" s="51"/>
      <c r="H746" s="25"/>
    </row>
    <row r="747" ht="14.25" customHeight="1">
      <c r="A747" s="51"/>
      <c r="H747" s="25"/>
    </row>
    <row r="748" ht="14.25" customHeight="1">
      <c r="A748" s="51"/>
      <c r="H748" s="25"/>
    </row>
    <row r="749" ht="14.25" customHeight="1">
      <c r="A749" s="51"/>
      <c r="H749" s="25"/>
    </row>
    <row r="750" ht="14.25" customHeight="1">
      <c r="A750" s="51"/>
      <c r="H750" s="25"/>
    </row>
    <row r="751" ht="14.25" customHeight="1">
      <c r="A751" s="51"/>
      <c r="H751" s="25"/>
    </row>
    <row r="752" ht="14.25" customHeight="1">
      <c r="A752" s="51"/>
      <c r="H752" s="25"/>
    </row>
    <row r="753" ht="14.25" customHeight="1">
      <c r="A753" s="51"/>
      <c r="H753" s="25"/>
    </row>
    <row r="754" ht="14.25" customHeight="1">
      <c r="A754" s="51"/>
      <c r="H754" s="25"/>
    </row>
    <row r="755" ht="14.25" customHeight="1">
      <c r="A755" s="51"/>
      <c r="H755" s="25"/>
    </row>
    <row r="756" ht="14.25" customHeight="1">
      <c r="A756" s="51"/>
      <c r="H756" s="25"/>
    </row>
    <row r="757" ht="14.25" customHeight="1">
      <c r="A757" s="51"/>
      <c r="H757" s="25"/>
    </row>
    <row r="758" ht="14.25" customHeight="1">
      <c r="A758" s="51"/>
      <c r="H758" s="25"/>
    </row>
    <row r="759" ht="14.25" customHeight="1">
      <c r="A759" s="51"/>
      <c r="H759" s="25"/>
    </row>
    <row r="760" ht="14.25" customHeight="1">
      <c r="A760" s="51"/>
      <c r="H760" s="25"/>
    </row>
    <row r="761" ht="14.25" customHeight="1">
      <c r="A761" s="51"/>
      <c r="H761" s="25"/>
    </row>
    <row r="762" ht="14.25" customHeight="1">
      <c r="A762" s="51"/>
      <c r="H762" s="25"/>
    </row>
    <row r="763" ht="14.25" customHeight="1">
      <c r="A763" s="51"/>
      <c r="H763" s="25"/>
    </row>
    <row r="764" ht="14.25" customHeight="1">
      <c r="A764" s="51"/>
      <c r="H764" s="25"/>
    </row>
    <row r="765" ht="14.25" customHeight="1">
      <c r="A765" s="51"/>
      <c r="H765" s="25"/>
    </row>
    <row r="766" ht="14.25" customHeight="1">
      <c r="A766" s="51"/>
      <c r="H766" s="25"/>
    </row>
    <row r="767" ht="14.25" customHeight="1">
      <c r="A767" s="51"/>
      <c r="H767" s="25"/>
    </row>
    <row r="768" ht="14.25" customHeight="1">
      <c r="A768" s="51"/>
      <c r="H768" s="25"/>
    </row>
    <row r="769" ht="14.25" customHeight="1">
      <c r="A769" s="51"/>
      <c r="H769" s="25"/>
    </row>
    <row r="770" ht="14.25" customHeight="1">
      <c r="A770" s="51"/>
      <c r="H770" s="25"/>
    </row>
    <row r="771" ht="14.25" customHeight="1">
      <c r="A771" s="51"/>
      <c r="H771" s="25"/>
    </row>
    <row r="772" ht="14.25" customHeight="1">
      <c r="A772" s="51"/>
      <c r="H772" s="25"/>
    </row>
    <row r="773" ht="14.25" customHeight="1">
      <c r="A773" s="51"/>
      <c r="H773" s="25"/>
    </row>
    <row r="774" ht="14.25" customHeight="1">
      <c r="A774" s="51"/>
      <c r="H774" s="25"/>
    </row>
    <row r="775" ht="14.25" customHeight="1">
      <c r="A775" s="51"/>
      <c r="H775" s="25"/>
    </row>
    <row r="776" ht="14.25" customHeight="1">
      <c r="A776" s="51"/>
      <c r="H776" s="25"/>
    </row>
    <row r="777" ht="14.25" customHeight="1">
      <c r="A777" s="51"/>
      <c r="H777" s="25"/>
    </row>
    <row r="778" ht="14.25" customHeight="1">
      <c r="A778" s="51"/>
      <c r="H778" s="25"/>
    </row>
    <row r="779" ht="14.25" customHeight="1">
      <c r="A779" s="51"/>
      <c r="H779" s="25"/>
    </row>
    <row r="780" ht="14.25" customHeight="1">
      <c r="A780" s="51"/>
      <c r="H780" s="25"/>
    </row>
    <row r="781" ht="14.25" customHeight="1">
      <c r="A781" s="51"/>
      <c r="H781" s="25"/>
    </row>
    <row r="782" ht="14.25" customHeight="1">
      <c r="A782" s="51"/>
      <c r="H782" s="25"/>
    </row>
    <row r="783" ht="14.25" customHeight="1">
      <c r="A783" s="51"/>
      <c r="H783" s="25"/>
    </row>
    <row r="784" ht="14.25" customHeight="1">
      <c r="A784" s="51"/>
      <c r="H784" s="25"/>
    </row>
    <row r="785" ht="14.25" customHeight="1">
      <c r="A785" s="51"/>
      <c r="H785" s="25"/>
    </row>
    <row r="786" ht="14.25" customHeight="1">
      <c r="A786" s="51"/>
      <c r="H786" s="25"/>
    </row>
    <row r="787" ht="14.25" customHeight="1">
      <c r="A787" s="51"/>
      <c r="H787" s="25"/>
    </row>
    <row r="788" ht="14.25" customHeight="1">
      <c r="A788" s="51"/>
      <c r="H788" s="25"/>
    </row>
    <row r="789" ht="14.25" customHeight="1">
      <c r="A789" s="51"/>
      <c r="H789" s="25"/>
    </row>
    <row r="790" ht="14.25" customHeight="1">
      <c r="A790" s="51"/>
      <c r="H790" s="25"/>
    </row>
    <row r="791" ht="14.25" customHeight="1">
      <c r="A791" s="51"/>
      <c r="H791" s="25"/>
    </row>
    <row r="792" ht="14.25" customHeight="1">
      <c r="A792" s="51"/>
      <c r="H792" s="25"/>
    </row>
    <row r="793" ht="14.25" customHeight="1">
      <c r="A793" s="51"/>
      <c r="H793" s="25"/>
    </row>
    <row r="794" ht="14.25" customHeight="1">
      <c r="A794" s="51"/>
      <c r="H794" s="25"/>
    </row>
    <row r="795" ht="14.25" customHeight="1">
      <c r="A795" s="51"/>
      <c r="H795" s="25"/>
    </row>
    <row r="796" ht="14.25" customHeight="1">
      <c r="A796" s="51"/>
      <c r="H796" s="25"/>
    </row>
    <row r="797" ht="14.25" customHeight="1">
      <c r="A797" s="51"/>
      <c r="H797" s="25"/>
    </row>
    <row r="798" ht="14.25" customHeight="1">
      <c r="A798" s="51"/>
      <c r="H798" s="25"/>
    </row>
    <row r="799" ht="14.25" customHeight="1">
      <c r="A799" s="51"/>
      <c r="H799" s="25"/>
    </row>
    <row r="800" ht="14.25" customHeight="1">
      <c r="A800" s="51"/>
      <c r="H800" s="25"/>
    </row>
    <row r="801" ht="14.25" customHeight="1">
      <c r="A801" s="51"/>
      <c r="H801" s="25"/>
    </row>
    <row r="802" ht="14.25" customHeight="1">
      <c r="A802" s="51"/>
      <c r="H802" s="25"/>
    </row>
    <row r="803" ht="14.25" customHeight="1">
      <c r="A803" s="51"/>
      <c r="H803" s="25"/>
    </row>
    <row r="804" ht="14.25" customHeight="1">
      <c r="A804" s="51"/>
      <c r="H804" s="25"/>
    </row>
    <row r="805" ht="14.25" customHeight="1">
      <c r="A805" s="51"/>
      <c r="H805" s="25"/>
    </row>
    <row r="806" ht="14.25" customHeight="1">
      <c r="A806" s="51"/>
      <c r="H806" s="25"/>
    </row>
    <row r="807" ht="14.25" customHeight="1">
      <c r="A807" s="51"/>
      <c r="H807" s="25"/>
    </row>
    <row r="808" ht="14.25" customHeight="1">
      <c r="A808" s="51"/>
      <c r="H808" s="25"/>
    </row>
    <row r="809" ht="14.25" customHeight="1">
      <c r="A809" s="51"/>
      <c r="H809" s="25"/>
    </row>
    <row r="810" ht="14.25" customHeight="1">
      <c r="A810" s="51"/>
      <c r="H810" s="25"/>
    </row>
    <row r="811" ht="14.25" customHeight="1">
      <c r="A811" s="51"/>
      <c r="H811" s="25"/>
    </row>
    <row r="812" ht="14.25" customHeight="1">
      <c r="A812" s="51"/>
      <c r="H812" s="25"/>
    </row>
    <row r="813" ht="14.25" customHeight="1">
      <c r="A813" s="51"/>
      <c r="H813" s="25"/>
    </row>
    <row r="814" ht="14.25" customHeight="1">
      <c r="A814" s="51"/>
      <c r="H814" s="25"/>
    </row>
    <row r="815" ht="14.25" customHeight="1">
      <c r="A815" s="51"/>
      <c r="H815" s="25"/>
    </row>
    <row r="816" ht="14.25" customHeight="1">
      <c r="A816" s="51"/>
      <c r="H816" s="25"/>
    </row>
    <row r="817" ht="14.25" customHeight="1">
      <c r="A817" s="51"/>
      <c r="H817" s="25"/>
    </row>
    <row r="818" ht="14.25" customHeight="1">
      <c r="A818" s="51"/>
      <c r="H818" s="25"/>
    </row>
    <row r="819" ht="14.25" customHeight="1">
      <c r="A819" s="51"/>
      <c r="H819" s="25"/>
    </row>
    <row r="820" ht="14.25" customHeight="1">
      <c r="A820" s="51"/>
      <c r="H820" s="25"/>
    </row>
    <row r="821" ht="14.25" customHeight="1">
      <c r="A821" s="51"/>
      <c r="H821" s="25"/>
    </row>
    <row r="822" ht="14.25" customHeight="1">
      <c r="A822" s="51"/>
      <c r="H822" s="25"/>
    </row>
    <row r="823" ht="14.25" customHeight="1">
      <c r="A823" s="51"/>
      <c r="H823" s="25"/>
    </row>
    <row r="824" ht="14.25" customHeight="1">
      <c r="A824" s="51"/>
      <c r="H824" s="25"/>
    </row>
    <row r="825" ht="14.25" customHeight="1">
      <c r="A825" s="51"/>
      <c r="H825" s="25"/>
    </row>
    <row r="826" ht="14.25" customHeight="1">
      <c r="A826" s="51"/>
      <c r="H826" s="25"/>
    </row>
    <row r="827" ht="14.25" customHeight="1">
      <c r="A827" s="51"/>
      <c r="H827" s="25"/>
    </row>
    <row r="828" ht="14.25" customHeight="1">
      <c r="A828" s="51"/>
      <c r="H828" s="25"/>
    </row>
    <row r="829" ht="14.25" customHeight="1">
      <c r="A829" s="51"/>
      <c r="H829" s="25"/>
    </row>
    <row r="830" ht="14.25" customHeight="1">
      <c r="A830" s="51"/>
      <c r="H830" s="25"/>
    </row>
    <row r="831" ht="14.25" customHeight="1">
      <c r="A831" s="51"/>
      <c r="H831" s="25"/>
    </row>
    <row r="832" ht="14.25" customHeight="1">
      <c r="A832" s="51"/>
      <c r="H832" s="25"/>
    </row>
    <row r="833" ht="14.25" customHeight="1">
      <c r="A833" s="51"/>
      <c r="H833" s="25"/>
    </row>
    <row r="834" ht="14.25" customHeight="1">
      <c r="A834" s="51"/>
      <c r="H834" s="25"/>
    </row>
    <row r="835" ht="14.25" customHeight="1">
      <c r="A835" s="51"/>
      <c r="H835" s="25"/>
    </row>
    <row r="836" ht="14.25" customHeight="1">
      <c r="A836" s="51"/>
      <c r="H836" s="25"/>
    </row>
    <row r="837" ht="14.25" customHeight="1">
      <c r="A837" s="51"/>
      <c r="H837" s="25"/>
    </row>
    <row r="838" ht="14.25" customHeight="1">
      <c r="A838" s="51"/>
      <c r="H838" s="25"/>
    </row>
    <row r="839" ht="14.25" customHeight="1">
      <c r="A839" s="51"/>
      <c r="H839" s="25"/>
    </row>
    <row r="840" ht="14.25" customHeight="1">
      <c r="A840" s="51"/>
      <c r="H840" s="25"/>
    </row>
    <row r="841" ht="14.25" customHeight="1">
      <c r="A841" s="51"/>
      <c r="H841" s="25"/>
    </row>
    <row r="842" ht="14.25" customHeight="1">
      <c r="A842" s="51"/>
      <c r="H842" s="25"/>
    </row>
    <row r="843" ht="14.25" customHeight="1">
      <c r="A843" s="51"/>
      <c r="H843" s="25"/>
    </row>
    <row r="844" ht="14.25" customHeight="1">
      <c r="A844" s="51"/>
      <c r="H844" s="25"/>
    </row>
    <row r="845" ht="14.25" customHeight="1">
      <c r="A845" s="51"/>
      <c r="H845" s="25"/>
    </row>
    <row r="846" ht="14.25" customHeight="1">
      <c r="A846" s="51"/>
      <c r="H846" s="25"/>
    </row>
    <row r="847" ht="14.25" customHeight="1">
      <c r="A847" s="51"/>
      <c r="H847" s="25"/>
    </row>
    <row r="848" ht="14.25" customHeight="1">
      <c r="A848" s="51"/>
      <c r="H848" s="25"/>
    </row>
    <row r="849" ht="14.25" customHeight="1">
      <c r="A849" s="51"/>
      <c r="H849" s="25"/>
    </row>
    <row r="850" ht="14.25" customHeight="1">
      <c r="A850" s="51"/>
      <c r="H850" s="25"/>
    </row>
    <row r="851" ht="14.25" customHeight="1">
      <c r="A851" s="51"/>
      <c r="H851" s="25"/>
    </row>
    <row r="852" ht="14.25" customHeight="1">
      <c r="A852" s="51"/>
      <c r="H852" s="25"/>
    </row>
    <row r="853" ht="14.25" customHeight="1">
      <c r="A853" s="51"/>
      <c r="H853" s="25"/>
    </row>
    <row r="854" ht="14.25" customHeight="1">
      <c r="A854" s="51"/>
      <c r="H854" s="25"/>
    </row>
    <row r="855" ht="14.25" customHeight="1">
      <c r="A855" s="51"/>
      <c r="H855" s="25"/>
    </row>
    <row r="856" ht="14.25" customHeight="1">
      <c r="A856" s="51"/>
      <c r="H856" s="25"/>
    </row>
    <row r="857" ht="14.25" customHeight="1">
      <c r="A857" s="51"/>
      <c r="H857" s="25"/>
    </row>
    <row r="858" ht="14.25" customHeight="1">
      <c r="A858" s="51"/>
      <c r="H858" s="25"/>
    </row>
    <row r="859" ht="14.25" customHeight="1">
      <c r="A859" s="51"/>
      <c r="H859" s="25"/>
    </row>
    <row r="860" ht="14.25" customHeight="1">
      <c r="A860" s="51"/>
      <c r="H860" s="25"/>
    </row>
    <row r="861" ht="14.25" customHeight="1">
      <c r="A861" s="51"/>
      <c r="H861" s="25"/>
    </row>
    <row r="862" ht="14.25" customHeight="1">
      <c r="A862" s="51"/>
      <c r="H862" s="25"/>
    </row>
    <row r="863" ht="14.25" customHeight="1">
      <c r="A863" s="51"/>
      <c r="H863" s="25"/>
    </row>
    <row r="864" ht="14.25" customHeight="1">
      <c r="A864" s="51"/>
      <c r="H864" s="25"/>
    </row>
    <row r="865" ht="14.25" customHeight="1">
      <c r="A865" s="51"/>
      <c r="H865" s="25"/>
    </row>
    <row r="866" ht="14.25" customHeight="1">
      <c r="A866" s="51"/>
      <c r="H866" s="25"/>
    </row>
    <row r="867" ht="14.25" customHeight="1">
      <c r="A867" s="51"/>
      <c r="H867" s="25"/>
    </row>
    <row r="868" ht="14.25" customHeight="1">
      <c r="A868" s="51"/>
      <c r="H868" s="25"/>
    </row>
    <row r="869" ht="14.25" customHeight="1">
      <c r="A869" s="51"/>
      <c r="H869" s="25"/>
    </row>
    <row r="870" ht="14.25" customHeight="1">
      <c r="A870" s="51"/>
      <c r="H870" s="25"/>
    </row>
    <row r="871" ht="14.25" customHeight="1">
      <c r="A871" s="51"/>
      <c r="H871" s="25"/>
    </row>
    <row r="872" ht="14.25" customHeight="1">
      <c r="A872" s="51"/>
      <c r="H872" s="25"/>
    </row>
    <row r="873" ht="14.25" customHeight="1">
      <c r="A873" s="51"/>
      <c r="H873" s="25"/>
    </row>
    <row r="874" ht="14.25" customHeight="1">
      <c r="A874" s="51"/>
      <c r="H874" s="25"/>
    </row>
    <row r="875" ht="14.25" customHeight="1">
      <c r="A875" s="51"/>
      <c r="H875" s="25"/>
    </row>
    <row r="876" ht="14.25" customHeight="1">
      <c r="A876" s="51"/>
      <c r="H876" s="25"/>
    </row>
    <row r="877" ht="14.25" customHeight="1">
      <c r="A877" s="51"/>
      <c r="H877" s="25"/>
    </row>
    <row r="878" ht="14.25" customHeight="1">
      <c r="A878" s="51"/>
      <c r="H878" s="25"/>
    </row>
    <row r="879" ht="14.25" customHeight="1">
      <c r="A879" s="51"/>
      <c r="H879" s="25"/>
    </row>
    <row r="880" ht="14.25" customHeight="1">
      <c r="A880" s="51"/>
      <c r="H880" s="25"/>
    </row>
    <row r="881" ht="14.25" customHeight="1">
      <c r="A881" s="51"/>
      <c r="H881" s="25"/>
    </row>
    <row r="882" ht="14.25" customHeight="1">
      <c r="A882" s="51"/>
      <c r="H882" s="25"/>
    </row>
    <row r="883" ht="14.25" customHeight="1">
      <c r="A883" s="51"/>
      <c r="H883" s="25"/>
    </row>
    <row r="884" ht="14.25" customHeight="1">
      <c r="A884" s="51"/>
      <c r="H884" s="25"/>
    </row>
    <row r="885" ht="14.25" customHeight="1">
      <c r="A885" s="51"/>
      <c r="H885" s="25"/>
    </row>
    <row r="886" ht="14.25" customHeight="1">
      <c r="A886" s="51"/>
      <c r="H886" s="25"/>
    </row>
    <row r="887" ht="14.25" customHeight="1">
      <c r="A887" s="51"/>
      <c r="H887" s="25"/>
    </row>
    <row r="888" ht="14.25" customHeight="1">
      <c r="A888" s="51"/>
      <c r="H888" s="25"/>
    </row>
    <row r="889" ht="14.25" customHeight="1">
      <c r="A889" s="51"/>
      <c r="H889" s="25"/>
    </row>
    <row r="890" ht="14.25" customHeight="1">
      <c r="A890" s="51"/>
      <c r="H890" s="25"/>
    </row>
    <row r="891" ht="14.25" customHeight="1">
      <c r="A891" s="51"/>
      <c r="H891" s="25"/>
    </row>
    <row r="892" ht="14.25" customHeight="1">
      <c r="A892" s="51"/>
      <c r="H892" s="25"/>
    </row>
    <row r="893" ht="14.25" customHeight="1">
      <c r="A893" s="51"/>
      <c r="H893" s="25"/>
    </row>
    <row r="894" ht="14.25" customHeight="1">
      <c r="A894" s="51"/>
      <c r="H894" s="25"/>
    </row>
    <row r="895" ht="14.25" customHeight="1">
      <c r="A895" s="51"/>
      <c r="H895" s="25"/>
    </row>
    <row r="896" ht="14.25" customHeight="1">
      <c r="A896" s="51"/>
      <c r="H896" s="25"/>
    </row>
    <row r="897" ht="14.25" customHeight="1">
      <c r="A897" s="51"/>
      <c r="H897" s="25"/>
    </row>
    <row r="898" ht="14.25" customHeight="1">
      <c r="A898" s="51"/>
      <c r="H898" s="25"/>
    </row>
    <row r="899" ht="14.25" customHeight="1">
      <c r="A899" s="51"/>
      <c r="H899" s="25"/>
    </row>
    <row r="900" ht="14.25" customHeight="1">
      <c r="A900" s="51"/>
      <c r="H900" s="25"/>
    </row>
    <row r="901" ht="14.25" customHeight="1">
      <c r="A901" s="51"/>
      <c r="H901" s="25"/>
    </row>
    <row r="902" ht="14.25" customHeight="1">
      <c r="A902" s="51"/>
      <c r="H902" s="25"/>
    </row>
    <row r="903" ht="14.25" customHeight="1">
      <c r="A903" s="51"/>
      <c r="H903" s="25"/>
    </row>
    <row r="904" ht="14.25" customHeight="1">
      <c r="A904" s="51"/>
      <c r="H904" s="25"/>
    </row>
    <row r="905" ht="14.25" customHeight="1">
      <c r="A905" s="51"/>
      <c r="H905" s="25"/>
    </row>
    <row r="906" ht="14.25" customHeight="1">
      <c r="A906" s="51"/>
      <c r="H906" s="25"/>
    </row>
    <row r="907" ht="14.25" customHeight="1">
      <c r="A907" s="51"/>
      <c r="H907" s="25"/>
    </row>
    <row r="908" ht="14.25" customHeight="1">
      <c r="A908" s="51"/>
      <c r="H908" s="25"/>
    </row>
    <row r="909" ht="14.25" customHeight="1">
      <c r="A909" s="51"/>
      <c r="H909" s="25"/>
    </row>
    <row r="910" ht="14.25" customHeight="1">
      <c r="A910" s="51"/>
      <c r="H910" s="25"/>
    </row>
    <row r="911" ht="14.25" customHeight="1">
      <c r="A911" s="51"/>
      <c r="H911" s="25"/>
    </row>
    <row r="912" ht="14.25" customHeight="1">
      <c r="A912" s="51"/>
      <c r="H912" s="25"/>
    </row>
    <row r="913" ht="14.25" customHeight="1">
      <c r="A913" s="51"/>
      <c r="H913" s="25"/>
    </row>
    <row r="914" ht="14.25" customHeight="1">
      <c r="A914" s="51"/>
      <c r="H914" s="25"/>
    </row>
    <row r="915" ht="14.25" customHeight="1">
      <c r="A915" s="51"/>
      <c r="H915" s="25"/>
    </row>
    <row r="916" ht="14.25" customHeight="1">
      <c r="A916" s="51"/>
      <c r="H916" s="25"/>
    </row>
    <row r="917" ht="14.25" customHeight="1">
      <c r="A917" s="51"/>
      <c r="H917" s="25"/>
    </row>
    <row r="918" ht="14.25" customHeight="1">
      <c r="A918" s="51"/>
      <c r="H918" s="25"/>
    </row>
    <row r="919" ht="14.25" customHeight="1">
      <c r="A919" s="51"/>
      <c r="H919" s="25"/>
    </row>
    <row r="920" ht="14.25" customHeight="1">
      <c r="A920" s="51"/>
      <c r="H920" s="25"/>
    </row>
    <row r="921" ht="14.25" customHeight="1">
      <c r="A921" s="51"/>
      <c r="H921" s="25"/>
    </row>
    <row r="922" ht="14.25" customHeight="1">
      <c r="A922" s="51"/>
      <c r="H922" s="25"/>
    </row>
    <row r="923" ht="14.25" customHeight="1">
      <c r="A923" s="51"/>
      <c r="H923" s="25"/>
    </row>
    <row r="924" ht="14.25" customHeight="1">
      <c r="A924" s="51"/>
      <c r="H924" s="25"/>
    </row>
    <row r="925" ht="14.25" customHeight="1">
      <c r="A925" s="51"/>
      <c r="H925" s="25"/>
    </row>
    <row r="926" ht="14.25" customHeight="1">
      <c r="A926" s="51"/>
      <c r="H926" s="25"/>
    </row>
    <row r="927" ht="14.25" customHeight="1">
      <c r="A927" s="51"/>
      <c r="H927" s="25"/>
    </row>
    <row r="928" ht="14.25" customHeight="1">
      <c r="A928" s="51"/>
      <c r="H928" s="25"/>
    </row>
    <row r="929" ht="14.25" customHeight="1">
      <c r="A929" s="51"/>
      <c r="H929" s="25"/>
    </row>
    <row r="930" ht="14.25" customHeight="1">
      <c r="A930" s="51"/>
      <c r="H930" s="25"/>
    </row>
    <row r="931" ht="14.25" customHeight="1">
      <c r="A931" s="51"/>
      <c r="H931" s="25"/>
    </row>
    <row r="932" ht="14.25" customHeight="1">
      <c r="A932" s="51"/>
      <c r="H932" s="25"/>
    </row>
    <row r="933" ht="14.25" customHeight="1">
      <c r="A933" s="51"/>
      <c r="H933" s="25"/>
    </row>
    <row r="934" ht="14.25" customHeight="1">
      <c r="A934" s="51"/>
      <c r="H934" s="25"/>
    </row>
    <row r="935" ht="14.25" customHeight="1">
      <c r="A935" s="51"/>
      <c r="H935" s="25"/>
    </row>
    <row r="936" ht="14.25" customHeight="1">
      <c r="A936" s="51"/>
      <c r="H936" s="25"/>
    </row>
    <row r="937" ht="14.25" customHeight="1">
      <c r="A937" s="51"/>
      <c r="H937" s="25"/>
    </row>
    <row r="938" ht="14.25" customHeight="1">
      <c r="A938" s="51"/>
      <c r="H938" s="25"/>
    </row>
    <row r="939" ht="14.25" customHeight="1">
      <c r="A939" s="51"/>
      <c r="H939" s="25"/>
    </row>
    <row r="940" ht="14.25" customHeight="1">
      <c r="A940" s="51"/>
      <c r="H940" s="25"/>
    </row>
    <row r="941" ht="14.25" customHeight="1">
      <c r="A941" s="51"/>
      <c r="H941" s="25"/>
    </row>
    <row r="942" ht="14.25" customHeight="1">
      <c r="A942" s="51"/>
      <c r="H942" s="25"/>
    </row>
    <row r="943" ht="14.25" customHeight="1">
      <c r="A943" s="51"/>
      <c r="H943" s="25"/>
    </row>
    <row r="944" ht="14.25" customHeight="1">
      <c r="A944" s="51"/>
      <c r="H944" s="25"/>
    </row>
    <row r="945" ht="14.25" customHeight="1">
      <c r="A945" s="51"/>
      <c r="H945" s="25"/>
    </row>
    <row r="946" ht="14.25" customHeight="1">
      <c r="A946" s="51"/>
      <c r="H946" s="25"/>
    </row>
    <row r="947" ht="14.25" customHeight="1">
      <c r="A947" s="51"/>
      <c r="H947" s="25"/>
    </row>
    <row r="948" ht="14.25" customHeight="1">
      <c r="A948" s="51"/>
      <c r="H948" s="25"/>
    </row>
    <row r="949" ht="14.25" customHeight="1">
      <c r="A949" s="51"/>
      <c r="H949" s="25"/>
    </row>
    <row r="950" ht="14.25" customHeight="1">
      <c r="A950" s="51"/>
      <c r="H950" s="25"/>
    </row>
    <row r="951" ht="14.25" customHeight="1">
      <c r="A951" s="51"/>
      <c r="H951" s="25"/>
    </row>
    <row r="952" ht="14.25" customHeight="1">
      <c r="A952" s="51"/>
      <c r="H952" s="25"/>
    </row>
    <row r="953" ht="14.25" customHeight="1">
      <c r="A953" s="51"/>
      <c r="H953" s="25"/>
    </row>
    <row r="954" ht="14.25" customHeight="1">
      <c r="A954" s="51"/>
      <c r="H954" s="25"/>
    </row>
    <row r="955" ht="14.25" customHeight="1">
      <c r="A955" s="51"/>
      <c r="H955" s="25"/>
    </row>
    <row r="956" ht="14.25" customHeight="1">
      <c r="A956" s="51"/>
      <c r="H956" s="25"/>
    </row>
    <row r="957" ht="14.25" customHeight="1">
      <c r="A957" s="51"/>
      <c r="H957" s="25"/>
    </row>
    <row r="958" ht="14.25" customHeight="1">
      <c r="A958" s="51"/>
      <c r="H958" s="25"/>
    </row>
    <row r="959" ht="14.25" customHeight="1">
      <c r="A959" s="51"/>
      <c r="H959" s="25"/>
    </row>
    <row r="960" ht="14.25" customHeight="1">
      <c r="A960" s="51"/>
      <c r="H960" s="25"/>
    </row>
    <row r="961" ht="14.25" customHeight="1">
      <c r="A961" s="51"/>
      <c r="H961" s="25"/>
    </row>
    <row r="962" ht="14.25" customHeight="1">
      <c r="A962" s="51"/>
      <c r="H962" s="25"/>
    </row>
    <row r="963" ht="14.25" customHeight="1">
      <c r="A963" s="51"/>
      <c r="H963" s="25"/>
    </row>
    <row r="964" ht="14.25" customHeight="1">
      <c r="A964" s="51"/>
      <c r="H964" s="25"/>
    </row>
    <row r="965" ht="14.25" customHeight="1">
      <c r="A965" s="51"/>
      <c r="H965" s="25"/>
    </row>
    <row r="966" ht="14.25" customHeight="1">
      <c r="A966" s="51"/>
      <c r="H966" s="25"/>
    </row>
    <row r="967" ht="14.25" customHeight="1">
      <c r="A967" s="51"/>
      <c r="H967" s="25"/>
    </row>
    <row r="968" ht="14.25" customHeight="1">
      <c r="A968" s="51"/>
      <c r="H968" s="25"/>
    </row>
    <row r="969" ht="14.25" customHeight="1">
      <c r="A969" s="51"/>
      <c r="H969" s="25"/>
    </row>
    <row r="970" ht="14.25" customHeight="1">
      <c r="A970" s="51"/>
      <c r="H970" s="25"/>
    </row>
    <row r="971" ht="14.25" customHeight="1">
      <c r="A971" s="51"/>
      <c r="H971" s="25"/>
    </row>
    <row r="972" ht="14.25" customHeight="1">
      <c r="A972" s="51"/>
      <c r="H972" s="25"/>
    </row>
    <row r="973" ht="14.25" customHeight="1">
      <c r="A973" s="51"/>
      <c r="H973" s="25"/>
    </row>
    <row r="974" ht="14.25" customHeight="1">
      <c r="A974" s="51"/>
      <c r="H974" s="25"/>
    </row>
    <row r="975" ht="14.25" customHeight="1">
      <c r="A975" s="51"/>
      <c r="H975" s="25"/>
    </row>
    <row r="976" ht="14.25" customHeight="1">
      <c r="A976" s="51"/>
      <c r="H976" s="25"/>
    </row>
    <row r="977" ht="14.25" customHeight="1">
      <c r="A977" s="51"/>
      <c r="H977" s="25"/>
    </row>
    <row r="978" ht="14.25" customHeight="1">
      <c r="A978" s="51"/>
      <c r="H978" s="25"/>
    </row>
    <row r="979" ht="14.25" customHeight="1">
      <c r="A979" s="51"/>
      <c r="H979" s="25"/>
    </row>
    <row r="980" ht="14.25" customHeight="1">
      <c r="A980" s="51"/>
      <c r="H980" s="25"/>
    </row>
    <row r="981" ht="14.25" customHeight="1">
      <c r="A981" s="51"/>
      <c r="H981" s="25"/>
    </row>
  </sheetData>
  <mergeCells count="1">
    <mergeCell ref="A1:G1"/>
  </mergeCells>
  <printOptions/>
  <pageMargins bottom="0.75" footer="0.0" header="0.0" left="0.7" right="0.7" top="0.75"/>
  <pageSetup paperSize="9"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32.63"/>
    <col customWidth="1" min="2" max="14" width="12.88"/>
  </cols>
  <sheetData>
    <row r="1" ht="14.25" customHeight="1">
      <c r="A1" s="53" t="s">
        <v>0</v>
      </c>
      <c r="H1" s="54"/>
      <c r="I1" s="54"/>
      <c r="J1" s="54"/>
      <c r="K1" s="54"/>
      <c r="L1" s="54"/>
      <c r="M1" s="54"/>
      <c r="N1" s="54"/>
    </row>
    <row r="2" ht="14.25" customHeight="1">
      <c r="A2" s="53" t="s">
        <v>53</v>
      </c>
      <c r="H2" s="54"/>
      <c r="I2" s="54"/>
      <c r="J2" s="54"/>
      <c r="K2" s="54"/>
      <c r="L2" s="54"/>
      <c r="M2" s="54"/>
      <c r="N2" s="54"/>
    </row>
    <row r="3" ht="14.25" customHeight="1">
      <c r="A3" s="55" t="s">
        <v>54</v>
      </c>
      <c r="B3" s="56" t="s">
        <v>55</v>
      </c>
      <c r="C3" s="57" t="s">
        <v>56</v>
      </c>
      <c r="D3" s="58" t="s">
        <v>57</v>
      </c>
      <c r="E3" s="58" t="s">
        <v>58</v>
      </c>
      <c r="F3" s="58" t="s">
        <v>59</v>
      </c>
      <c r="G3" s="58" t="s">
        <v>60</v>
      </c>
      <c r="H3" s="59" t="s">
        <v>61</v>
      </c>
      <c r="I3" s="58" t="s">
        <v>62</v>
      </c>
      <c r="J3" s="58" t="s">
        <v>63</v>
      </c>
      <c r="K3" s="58" t="s">
        <v>64</v>
      </c>
      <c r="L3" s="58" t="s">
        <v>65</v>
      </c>
      <c r="M3" s="58" t="s">
        <v>66</v>
      </c>
      <c r="N3" s="60" t="s">
        <v>52</v>
      </c>
    </row>
    <row r="4" ht="18.0" customHeight="1">
      <c r="A4" s="61" t="s">
        <v>67</v>
      </c>
      <c r="B4" s="62">
        <f t="shared" ref="B4:M4" si="1">SUM(B5:B9)</f>
        <v>907874</v>
      </c>
      <c r="C4" s="62">
        <f t="shared" si="1"/>
        <v>1079354</v>
      </c>
      <c r="D4" s="62">
        <f t="shared" si="1"/>
        <v>750645</v>
      </c>
      <c r="E4" s="62">
        <f t="shared" si="1"/>
        <v>968174</v>
      </c>
      <c r="F4" s="62">
        <f t="shared" si="1"/>
        <v>878335</v>
      </c>
      <c r="G4" s="62">
        <f t="shared" si="1"/>
        <v>856039</v>
      </c>
      <c r="H4" s="62">
        <f t="shared" si="1"/>
        <v>1239543</v>
      </c>
      <c r="I4" s="62">
        <f t="shared" si="1"/>
        <v>1202726</v>
      </c>
      <c r="J4" s="62">
        <f t="shared" si="1"/>
        <v>1371232</v>
      </c>
      <c r="K4" s="62">
        <f t="shared" si="1"/>
        <v>961513</v>
      </c>
      <c r="L4" s="62">
        <f t="shared" si="1"/>
        <v>1249966.9</v>
      </c>
      <c r="M4" s="62">
        <f t="shared" si="1"/>
        <v>1624956.97</v>
      </c>
      <c r="N4" s="63">
        <f t="shared" ref="N4:N10" si="3">SUM(B4:M4)</f>
        <v>13090358.87</v>
      </c>
    </row>
    <row r="5" ht="14.25" customHeight="1">
      <c r="A5" s="64" t="str">
        <f>Segment_wise_Revenue!B2</f>
        <v>Morning Glory</v>
      </c>
      <c r="B5" s="65">
        <f>Segment_wise_Revenue!$B$3</f>
        <v>118348</v>
      </c>
      <c r="C5" s="66">
        <f>Segment_wise_Revenue!B4</f>
        <v>181875</v>
      </c>
      <c r="D5" s="67">
        <f>Segment_wise_Revenue!B5</f>
        <v>63993</v>
      </c>
      <c r="E5" s="66">
        <f>Segment_wise_Revenue!B6</f>
        <v>113740</v>
      </c>
      <c r="F5" s="67">
        <f>Segment_wise_Revenue!B7</f>
        <v>222121</v>
      </c>
      <c r="G5" s="66">
        <f>Segment_wise_Revenue!B8</f>
        <v>49180</v>
      </c>
      <c r="H5" s="66">
        <f>Segment_wise_Revenue!B9</f>
        <v>100602</v>
      </c>
      <c r="I5" s="67">
        <f>Segment_wise_Revenue!B10</f>
        <v>159971</v>
      </c>
      <c r="J5" s="67">
        <f>Segment_wise_Revenue!B11</f>
        <v>70329</v>
      </c>
      <c r="K5" s="66">
        <f>Segment_wise_Revenue!B12</f>
        <v>90700</v>
      </c>
      <c r="L5" s="66">
        <f t="shared" ref="L5:M5" si="2">K5*1.3</f>
        <v>117910</v>
      </c>
      <c r="M5" s="66">
        <f t="shared" si="2"/>
        <v>153283</v>
      </c>
      <c r="N5" s="68">
        <f t="shared" si="3"/>
        <v>1442052</v>
      </c>
    </row>
    <row r="6" ht="14.25" customHeight="1">
      <c r="A6" s="64" t="str">
        <f>Segment_wise_Revenue!C2</f>
        <v>Al Fresco</v>
      </c>
      <c r="B6" s="65">
        <f>Segment_wise_Revenue!$C$3</f>
        <v>264870</v>
      </c>
      <c r="C6" s="66">
        <f>Segment_wise_Revenue!C4</f>
        <v>344792</v>
      </c>
      <c r="D6" s="67">
        <f>Segment_wise_Revenue!C5</f>
        <v>323481</v>
      </c>
      <c r="E6" s="66">
        <f>Segment_wise_Revenue!C6</f>
        <v>340593</v>
      </c>
      <c r="F6" s="67">
        <f>Segment_wise_Revenue!C7</f>
        <v>370930</v>
      </c>
      <c r="G6" s="66">
        <f>Segment_wise_Revenue!C8</f>
        <v>436280</v>
      </c>
      <c r="H6" s="66">
        <f>Segment_wise_Revenue!C9</f>
        <v>754392</v>
      </c>
      <c r="I6" s="67">
        <f>Segment_wise_Revenue!C10</f>
        <v>596736</v>
      </c>
      <c r="J6" s="67">
        <f>Segment_wise_Revenue!C11</f>
        <v>582752</v>
      </c>
      <c r="K6" s="67">
        <f>Segment_wise_Revenue!C12</f>
        <v>385146</v>
      </c>
      <c r="L6" s="66">
        <f t="shared" ref="L6:M6" si="4">K6*1.3</f>
        <v>500689.8</v>
      </c>
      <c r="M6" s="66">
        <f t="shared" si="4"/>
        <v>650896.74</v>
      </c>
      <c r="N6" s="69">
        <f t="shared" si="3"/>
        <v>5551558.54</v>
      </c>
    </row>
    <row r="7" ht="14.25" customHeight="1">
      <c r="A7" s="64" t="str">
        <f>Segment_wise_Revenue!D2</f>
        <v>Sunset Soiree</v>
      </c>
      <c r="B7" s="65">
        <f>Segment_wise_Revenue!$D$3</f>
        <v>524656</v>
      </c>
      <c r="C7" s="66">
        <f>Segment_wise_Revenue!D4</f>
        <v>525237</v>
      </c>
      <c r="D7" s="67">
        <f>Segment_wise_Revenue!D5</f>
        <v>349671</v>
      </c>
      <c r="E7" s="66">
        <f>Segment_wise_Revenue!D6</f>
        <v>493341</v>
      </c>
      <c r="F7" s="67">
        <f>Segment_wise_Revenue!D7</f>
        <v>261784</v>
      </c>
      <c r="G7" s="66">
        <f>Segment_wise_Revenue!D8</f>
        <v>357579</v>
      </c>
      <c r="H7" s="66">
        <f>Segment_wise_Revenue!D9</f>
        <v>363649</v>
      </c>
      <c r="I7" s="67">
        <f>Segment_wise_Revenue!D10</f>
        <v>426519</v>
      </c>
      <c r="J7" s="67">
        <f>Segment_wise_Revenue!D11</f>
        <v>680351</v>
      </c>
      <c r="K7" s="67">
        <f>Segment_wise_Revenue!D12</f>
        <v>460167</v>
      </c>
      <c r="L7" s="66">
        <f t="shared" ref="L7:M7" si="5">K7*1.3</f>
        <v>598217.1</v>
      </c>
      <c r="M7" s="66">
        <f t="shared" si="5"/>
        <v>777682.23</v>
      </c>
      <c r="N7" s="69">
        <f t="shared" si="3"/>
        <v>5818853.33</v>
      </c>
    </row>
    <row r="8" ht="14.25" customHeight="1">
      <c r="A8" s="64" t="str">
        <f>Segment_wise_Revenue!E2</f>
        <v>Studio</v>
      </c>
      <c r="B8" s="65" t="str">
        <f>Segment_wise_Revenue!$E$3</f>
        <v/>
      </c>
      <c r="C8" s="66">
        <f>Segment_wise_Revenue!E4</f>
        <v>27450</v>
      </c>
      <c r="D8" s="67">
        <f>Segment_wise_Revenue!E5</f>
        <v>13500</v>
      </c>
      <c r="E8" s="66">
        <f>Segment_wise_Revenue!E6</f>
        <v>20500</v>
      </c>
      <c r="F8" s="67">
        <f>Segment_wise_Revenue!E7</f>
        <v>23500</v>
      </c>
      <c r="G8" s="66">
        <f>Segment_wise_Revenue!E8</f>
        <v>13000</v>
      </c>
      <c r="H8" s="66">
        <f>Segment_wise_Revenue!E9</f>
        <v>20900</v>
      </c>
      <c r="I8" s="67">
        <f>Segment_wise_Revenue!E10</f>
        <v>19500</v>
      </c>
      <c r="J8" s="67">
        <f>Segment_wise_Revenue!E11</f>
        <v>37800</v>
      </c>
      <c r="K8" s="67">
        <f>Segment_wise_Revenue!E12</f>
        <v>25500</v>
      </c>
      <c r="L8" s="66">
        <f t="shared" ref="L8:M8" si="6">K8*1.3</f>
        <v>33150</v>
      </c>
      <c r="M8" s="66">
        <f t="shared" si="6"/>
        <v>43095</v>
      </c>
      <c r="N8" s="69">
        <f t="shared" si="3"/>
        <v>277895</v>
      </c>
    </row>
    <row r="9" ht="14.25" customHeight="1">
      <c r="A9" s="70" t="s">
        <v>12</v>
      </c>
      <c r="B9" s="65" t="str">
        <f>Segment_wise_Revenue!$F$3</f>
        <v/>
      </c>
      <c r="C9" s="66"/>
      <c r="D9" s="67"/>
      <c r="E9" s="66"/>
      <c r="F9" s="67"/>
      <c r="G9" s="66"/>
      <c r="H9" s="66"/>
      <c r="I9" s="67"/>
      <c r="J9" s="67"/>
      <c r="K9" s="67"/>
      <c r="L9" s="67"/>
      <c r="M9" s="67"/>
      <c r="N9" s="71">
        <f t="shared" si="3"/>
        <v>0</v>
      </c>
    </row>
    <row r="10" ht="18.0" customHeight="1">
      <c r="A10" s="72" t="s">
        <v>68</v>
      </c>
      <c r="B10" s="73">
        <f t="shared" ref="B10:M10" si="7">sum(B11:B13)</f>
        <v>203541</v>
      </c>
      <c r="C10" s="73">
        <f t="shared" si="7"/>
        <v>211829</v>
      </c>
      <c r="D10" s="73">
        <f t="shared" si="7"/>
        <v>209373</v>
      </c>
      <c r="E10" s="73">
        <f t="shared" si="7"/>
        <v>177557</v>
      </c>
      <c r="F10" s="73">
        <f t="shared" si="7"/>
        <v>172324</v>
      </c>
      <c r="G10" s="73">
        <f t="shared" si="7"/>
        <v>203997</v>
      </c>
      <c r="H10" s="73">
        <f t="shared" si="7"/>
        <v>233183</v>
      </c>
      <c r="I10" s="73">
        <f t="shared" si="7"/>
        <v>234574</v>
      </c>
      <c r="J10" s="73">
        <f t="shared" si="7"/>
        <v>320420</v>
      </c>
      <c r="K10" s="73">
        <f t="shared" si="7"/>
        <v>272934</v>
      </c>
      <c r="L10" s="73">
        <f t="shared" si="7"/>
        <v>354814.2</v>
      </c>
      <c r="M10" s="73">
        <f t="shared" si="7"/>
        <v>461258.46</v>
      </c>
      <c r="N10" s="74">
        <f t="shared" si="3"/>
        <v>3055804.66</v>
      </c>
    </row>
    <row r="11" ht="14.25" customHeight="1">
      <c r="A11" s="70" t="s">
        <v>69</v>
      </c>
      <c r="B11" s="75">
        <v>154165.0</v>
      </c>
      <c r="C11" s="76">
        <v>152583.0</v>
      </c>
      <c r="D11" s="77">
        <v>147063.0</v>
      </c>
      <c r="E11" s="76">
        <v>125852.0</v>
      </c>
      <c r="F11" s="77">
        <v>134779.0</v>
      </c>
      <c r="G11" s="76">
        <v>108655.0</v>
      </c>
      <c r="H11" s="77">
        <v>112015.0</v>
      </c>
      <c r="I11" s="76">
        <v>141303.0</v>
      </c>
      <c r="J11" s="77">
        <v>185774.0</v>
      </c>
      <c r="K11" s="76">
        <v>167420.0</v>
      </c>
      <c r="L11" s="66">
        <f t="shared" ref="L11:M11" si="8">K11*1.3</f>
        <v>217646</v>
      </c>
      <c r="M11" s="66">
        <f t="shared" si="8"/>
        <v>282939.8</v>
      </c>
      <c r="N11" s="78"/>
    </row>
    <row r="12" ht="14.25" customHeight="1">
      <c r="A12" s="70" t="s">
        <v>70</v>
      </c>
      <c r="B12" s="75">
        <v>47967.0</v>
      </c>
      <c r="C12" s="76">
        <v>49886.0</v>
      </c>
      <c r="D12" s="77">
        <v>59410.0</v>
      </c>
      <c r="E12" s="76">
        <v>51705.0</v>
      </c>
      <c r="F12" s="77">
        <v>37545.0</v>
      </c>
      <c r="G12" s="76">
        <v>90712.0</v>
      </c>
      <c r="H12" s="77">
        <v>119715.0</v>
      </c>
      <c r="I12" s="76">
        <v>69721.0</v>
      </c>
      <c r="J12" s="77">
        <v>100606.0</v>
      </c>
      <c r="K12" s="76">
        <v>95116.0</v>
      </c>
      <c r="L12" s="66">
        <f t="shared" ref="L12:M12" si="9">K12*1.3</f>
        <v>123650.8</v>
      </c>
      <c r="M12" s="66">
        <f t="shared" si="9"/>
        <v>160746.04</v>
      </c>
      <c r="N12" s="79"/>
    </row>
    <row r="13" ht="14.25" customHeight="1">
      <c r="A13" s="70" t="s">
        <v>71</v>
      </c>
      <c r="B13" s="75">
        <v>1409.0</v>
      </c>
      <c r="C13" s="76">
        <v>9360.0</v>
      </c>
      <c r="D13" s="77">
        <v>2900.0</v>
      </c>
      <c r="E13" s="67"/>
      <c r="F13" s="66"/>
      <c r="G13" s="76">
        <v>4630.0</v>
      </c>
      <c r="H13" s="77">
        <v>1453.0</v>
      </c>
      <c r="I13" s="76">
        <v>23550.0</v>
      </c>
      <c r="J13" s="77">
        <v>34040.0</v>
      </c>
      <c r="K13" s="76">
        <v>10398.0</v>
      </c>
      <c r="L13" s="66">
        <f t="shared" ref="L13:M13" si="10">K13*1.3</f>
        <v>13517.4</v>
      </c>
      <c r="M13" s="66">
        <f t="shared" si="10"/>
        <v>17572.62</v>
      </c>
      <c r="N13" s="79"/>
    </row>
    <row r="14" ht="14.25" customHeight="1">
      <c r="A14" s="64" t="s">
        <v>72</v>
      </c>
      <c r="B14" s="80"/>
      <c r="C14" s="67"/>
      <c r="D14" s="66"/>
      <c r="E14" s="67"/>
      <c r="F14" s="66"/>
      <c r="G14" s="67"/>
      <c r="H14" s="66"/>
      <c r="I14" s="67"/>
      <c r="J14" s="66"/>
      <c r="K14" s="67"/>
      <c r="L14" s="66"/>
      <c r="M14" s="67"/>
      <c r="N14" s="79"/>
    </row>
    <row r="15" ht="18.0" customHeight="1">
      <c r="A15" s="81" t="s">
        <v>18</v>
      </c>
      <c r="B15" s="82">
        <f t="shared" ref="B15:M15" si="11">sum(B16:B17)</f>
        <v>35008</v>
      </c>
      <c r="C15" s="82">
        <f t="shared" si="11"/>
        <v>34233</v>
      </c>
      <c r="D15" s="82">
        <f t="shared" si="11"/>
        <v>29919</v>
      </c>
      <c r="E15" s="82">
        <f t="shared" si="11"/>
        <v>30792</v>
      </c>
      <c r="F15" s="82">
        <f t="shared" si="11"/>
        <v>29948</v>
      </c>
      <c r="G15" s="82">
        <f t="shared" si="11"/>
        <v>27828</v>
      </c>
      <c r="H15" s="82">
        <f t="shared" si="11"/>
        <v>19090</v>
      </c>
      <c r="I15" s="82">
        <f t="shared" si="11"/>
        <v>21450</v>
      </c>
      <c r="J15" s="82">
        <f t="shared" si="11"/>
        <v>32404</v>
      </c>
      <c r="K15" s="82">
        <f t="shared" si="11"/>
        <v>34013</v>
      </c>
      <c r="L15" s="82">
        <f t="shared" si="11"/>
        <v>44216.9</v>
      </c>
      <c r="M15" s="82">
        <f t="shared" si="11"/>
        <v>57481.97</v>
      </c>
      <c r="N15" s="74">
        <f>SUM(B15:M15)</f>
        <v>396383.87</v>
      </c>
    </row>
    <row r="16" ht="14.25" customHeight="1">
      <c r="A16" s="70" t="s">
        <v>73</v>
      </c>
      <c r="B16" s="75">
        <v>25851.0</v>
      </c>
      <c r="C16" s="76">
        <v>30795.0</v>
      </c>
      <c r="D16" s="77">
        <v>24505.0</v>
      </c>
      <c r="E16" s="76">
        <v>16224.0</v>
      </c>
      <c r="F16" s="77">
        <v>29662.0</v>
      </c>
      <c r="G16" s="76">
        <v>23760.0</v>
      </c>
      <c r="H16" s="77">
        <v>18050.0</v>
      </c>
      <c r="I16" s="76">
        <v>17915.0</v>
      </c>
      <c r="J16" s="77">
        <v>31400.0</v>
      </c>
      <c r="K16" s="76">
        <v>31290.0</v>
      </c>
      <c r="L16" s="66">
        <f t="shared" ref="L16:M16" si="12">K16*1.3</f>
        <v>40677</v>
      </c>
      <c r="M16" s="66">
        <f t="shared" si="12"/>
        <v>52880.1</v>
      </c>
      <c r="N16" s="79"/>
    </row>
    <row r="17" ht="14.25" customHeight="1">
      <c r="A17" s="70" t="s">
        <v>74</v>
      </c>
      <c r="B17" s="75">
        <v>9157.0</v>
      </c>
      <c r="C17" s="76">
        <v>3438.0</v>
      </c>
      <c r="D17" s="77">
        <v>5414.0</v>
      </c>
      <c r="E17" s="76">
        <v>14568.0</v>
      </c>
      <c r="F17" s="77">
        <v>286.0</v>
      </c>
      <c r="G17" s="76">
        <v>4068.0</v>
      </c>
      <c r="H17" s="77">
        <v>1040.0</v>
      </c>
      <c r="I17" s="76">
        <v>3535.0</v>
      </c>
      <c r="J17" s="77">
        <v>1004.0</v>
      </c>
      <c r="K17" s="76">
        <v>2723.0</v>
      </c>
      <c r="L17" s="66">
        <f t="shared" ref="L17:M17" si="13">K17*1.3</f>
        <v>3539.9</v>
      </c>
      <c r="M17" s="66">
        <f t="shared" si="13"/>
        <v>4601.87</v>
      </c>
      <c r="N17" s="79"/>
    </row>
    <row r="18" ht="14.25" customHeight="1">
      <c r="A18" s="64"/>
      <c r="B18" s="83"/>
      <c r="C18" s="84"/>
      <c r="D18" s="85"/>
      <c r="E18" s="84"/>
      <c r="F18" s="85"/>
      <c r="G18" s="84"/>
      <c r="H18" s="85"/>
      <c r="I18" s="84"/>
      <c r="J18" s="85"/>
      <c r="K18" s="84"/>
      <c r="L18" s="85"/>
      <c r="M18" s="84"/>
      <c r="N18" s="86"/>
    </row>
    <row r="19" ht="14.25" customHeight="1">
      <c r="A19" s="87"/>
      <c r="B19" s="88"/>
      <c r="C19" s="89"/>
      <c r="D19" s="90"/>
      <c r="E19" s="89"/>
      <c r="F19" s="90"/>
      <c r="G19" s="89"/>
      <c r="H19" s="90"/>
      <c r="I19" s="89"/>
      <c r="J19" s="90"/>
      <c r="K19" s="89"/>
      <c r="L19" s="90"/>
      <c r="M19" s="89"/>
      <c r="N19" s="91"/>
    </row>
    <row r="20" ht="14.25" customHeight="1">
      <c r="A20" s="92" t="s">
        <v>75</v>
      </c>
      <c r="B20" s="93">
        <f t="shared" ref="B20:M20" si="14">B10+B15</f>
        <v>238549</v>
      </c>
      <c r="C20" s="93">
        <f t="shared" si="14"/>
        <v>246062</v>
      </c>
      <c r="D20" s="93">
        <f t="shared" si="14"/>
        <v>239292</v>
      </c>
      <c r="E20" s="93">
        <f t="shared" si="14"/>
        <v>208349</v>
      </c>
      <c r="F20" s="93">
        <f t="shared" si="14"/>
        <v>202272</v>
      </c>
      <c r="G20" s="93">
        <f t="shared" si="14"/>
        <v>231825</v>
      </c>
      <c r="H20" s="93">
        <f t="shared" si="14"/>
        <v>252273</v>
      </c>
      <c r="I20" s="93">
        <f t="shared" si="14"/>
        <v>256024</v>
      </c>
      <c r="J20" s="93">
        <f t="shared" si="14"/>
        <v>352824</v>
      </c>
      <c r="K20" s="93">
        <f t="shared" si="14"/>
        <v>306947</v>
      </c>
      <c r="L20" s="93">
        <f t="shared" si="14"/>
        <v>399031.1</v>
      </c>
      <c r="M20" s="93">
        <f t="shared" si="14"/>
        <v>518740.43</v>
      </c>
      <c r="N20" s="94">
        <f>SUM(B20:M20)</f>
        <v>3452188.53</v>
      </c>
    </row>
    <row r="21" ht="14.25" customHeight="1">
      <c r="A21" s="95"/>
      <c r="B21" s="90"/>
      <c r="C21" s="96"/>
      <c r="D21" s="96"/>
      <c r="E21" s="96"/>
      <c r="F21" s="96"/>
      <c r="G21" s="96"/>
      <c r="H21" s="96"/>
      <c r="I21" s="96"/>
      <c r="J21" s="96"/>
      <c r="K21" s="96"/>
      <c r="L21" s="96"/>
      <c r="M21" s="96"/>
      <c r="N21" s="94"/>
    </row>
    <row r="22" ht="14.25" customHeight="1">
      <c r="A22" s="97" t="s">
        <v>19</v>
      </c>
      <c r="B22" s="98">
        <f t="shared" ref="B22:N22" si="15">B4-B20</f>
        <v>669325</v>
      </c>
      <c r="C22" s="98">
        <f t="shared" si="15"/>
        <v>833292</v>
      </c>
      <c r="D22" s="98">
        <f t="shared" si="15"/>
        <v>511353</v>
      </c>
      <c r="E22" s="98">
        <f t="shared" si="15"/>
        <v>759825</v>
      </c>
      <c r="F22" s="98">
        <f t="shared" si="15"/>
        <v>676063</v>
      </c>
      <c r="G22" s="98">
        <f t="shared" si="15"/>
        <v>624214</v>
      </c>
      <c r="H22" s="98">
        <f t="shared" si="15"/>
        <v>987270</v>
      </c>
      <c r="I22" s="98">
        <f t="shared" si="15"/>
        <v>946702</v>
      </c>
      <c r="J22" s="98">
        <f t="shared" si="15"/>
        <v>1018408</v>
      </c>
      <c r="K22" s="98">
        <f t="shared" si="15"/>
        <v>654566</v>
      </c>
      <c r="L22" s="98">
        <f t="shared" si="15"/>
        <v>850935.8</v>
      </c>
      <c r="M22" s="98">
        <f t="shared" si="15"/>
        <v>1106216.54</v>
      </c>
      <c r="N22" s="99">
        <f t="shared" si="15"/>
        <v>9638170.34</v>
      </c>
    </row>
    <row r="23" ht="14.25" customHeight="1">
      <c r="A23" s="97" t="s">
        <v>20</v>
      </c>
      <c r="B23" s="100">
        <f t="shared" ref="B23:N23" si="16">B22/B4</f>
        <v>0.7372443753</v>
      </c>
      <c r="C23" s="100">
        <f t="shared" si="16"/>
        <v>0.7720284541</v>
      </c>
      <c r="D23" s="100">
        <f t="shared" si="16"/>
        <v>0.6812181524</v>
      </c>
      <c r="E23" s="100">
        <f t="shared" si="16"/>
        <v>0.784802112</v>
      </c>
      <c r="F23" s="100">
        <f t="shared" si="16"/>
        <v>0.7697097349</v>
      </c>
      <c r="G23" s="100">
        <f t="shared" si="16"/>
        <v>0.7291887402</v>
      </c>
      <c r="H23" s="100">
        <f t="shared" si="16"/>
        <v>0.7964790249</v>
      </c>
      <c r="I23" s="100">
        <f t="shared" si="16"/>
        <v>0.7871302358</v>
      </c>
      <c r="J23" s="100">
        <f t="shared" si="16"/>
        <v>0.7426956197</v>
      </c>
      <c r="K23" s="100">
        <f t="shared" si="16"/>
        <v>0.6807666667</v>
      </c>
      <c r="L23" s="100">
        <f t="shared" si="16"/>
        <v>0.6807666667</v>
      </c>
      <c r="M23" s="100">
        <f t="shared" si="16"/>
        <v>0.6807666667</v>
      </c>
      <c r="N23" s="99">
        <f t="shared" si="16"/>
        <v>0.7362800696</v>
      </c>
    </row>
    <row r="24" ht="14.25" customHeight="1">
      <c r="A24" s="101"/>
      <c r="B24" s="85"/>
      <c r="C24" s="85"/>
      <c r="D24" s="85"/>
      <c r="E24" s="85"/>
      <c r="F24" s="85"/>
      <c r="G24" s="85"/>
      <c r="H24" s="85"/>
      <c r="I24" s="85"/>
      <c r="J24" s="85"/>
      <c r="K24" s="85"/>
      <c r="L24" s="85"/>
      <c r="M24" s="85"/>
      <c r="N24" s="102"/>
    </row>
    <row r="25" ht="14.25" customHeight="1">
      <c r="A25" s="103" t="s">
        <v>21</v>
      </c>
      <c r="B25" s="96">
        <f t="shared" ref="B25:M25" si="17">sum(B26:B29)</f>
        <v>0</v>
      </c>
      <c r="C25" s="96">
        <f t="shared" si="17"/>
        <v>0</v>
      </c>
      <c r="D25" s="96">
        <f t="shared" si="17"/>
        <v>0</v>
      </c>
      <c r="E25" s="96">
        <f t="shared" si="17"/>
        <v>0</v>
      </c>
      <c r="F25" s="96">
        <f t="shared" si="17"/>
        <v>0</v>
      </c>
      <c r="G25" s="96">
        <f t="shared" si="17"/>
        <v>0</v>
      </c>
      <c r="H25" s="96">
        <f t="shared" si="17"/>
        <v>0</v>
      </c>
      <c r="I25" s="96">
        <f t="shared" si="17"/>
        <v>0</v>
      </c>
      <c r="J25" s="96">
        <f t="shared" si="17"/>
        <v>0</v>
      </c>
      <c r="K25" s="96">
        <f t="shared" si="17"/>
        <v>0</v>
      </c>
      <c r="L25" s="96">
        <f t="shared" si="17"/>
        <v>0</v>
      </c>
      <c r="M25" s="96">
        <f t="shared" si="17"/>
        <v>0</v>
      </c>
      <c r="N25" s="94">
        <f>SUM(B25:M25)</f>
        <v>0</v>
      </c>
    </row>
    <row r="26" ht="14.25" customHeight="1">
      <c r="A26" s="104" t="s">
        <v>76</v>
      </c>
      <c r="B26" s="85"/>
      <c r="C26" s="84"/>
      <c r="D26" s="85"/>
      <c r="E26" s="84"/>
      <c r="F26" s="85"/>
      <c r="G26" s="84"/>
      <c r="H26" s="85"/>
      <c r="I26" s="84"/>
      <c r="J26" s="85"/>
      <c r="K26" s="84"/>
      <c r="L26" s="85"/>
      <c r="M26" s="84"/>
      <c r="N26" s="79"/>
    </row>
    <row r="27" ht="14.25" customHeight="1">
      <c r="A27" s="104" t="s">
        <v>77</v>
      </c>
      <c r="B27" s="85"/>
      <c r="C27" s="84"/>
      <c r="D27" s="85"/>
      <c r="E27" s="84"/>
      <c r="F27" s="85"/>
      <c r="G27" s="84"/>
      <c r="H27" s="85"/>
      <c r="I27" s="84"/>
      <c r="J27" s="85"/>
      <c r="K27" s="84"/>
      <c r="L27" s="85"/>
      <c r="M27" s="84"/>
      <c r="N27" s="79"/>
    </row>
    <row r="28" ht="14.25" customHeight="1">
      <c r="A28" s="104" t="s">
        <v>78</v>
      </c>
      <c r="B28" s="85"/>
      <c r="C28" s="84"/>
      <c r="D28" s="85"/>
      <c r="E28" s="84"/>
      <c r="F28" s="85"/>
      <c r="G28" s="84"/>
      <c r="H28" s="85"/>
      <c r="I28" s="84"/>
      <c r="J28" s="85"/>
      <c r="K28" s="84"/>
      <c r="L28" s="85"/>
      <c r="M28" s="84"/>
      <c r="N28" s="79"/>
    </row>
    <row r="29" ht="14.25" customHeight="1">
      <c r="A29" s="104" t="s">
        <v>12</v>
      </c>
      <c r="B29" s="85"/>
      <c r="C29" s="84"/>
      <c r="D29" s="85"/>
      <c r="E29" s="84"/>
      <c r="F29" s="85"/>
      <c r="G29" s="84"/>
      <c r="H29" s="85"/>
      <c r="I29" s="84"/>
      <c r="J29" s="85"/>
      <c r="K29" s="84"/>
      <c r="L29" s="85"/>
      <c r="M29" s="84"/>
      <c r="N29" s="79"/>
    </row>
    <row r="30" ht="14.25" customHeight="1">
      <c r="A30" s="105" t="s">
        <v>22</v>
      </c>
      <c r="B30" s="96">
        <f t="shared" ref="B30:M30" si="18">SUM(B31:B38)</f>
        <v>336727</v>
      </c>
      <c r="C30" s="96">
        <f t="shared" si="18"/>
        <v>391689</v>
      </c>
      <c r="D30" s="96">
        <f t="shared" si="18"/>
        <v>380885</v>
      </c>
      <c r="E30" s="96">
        <f t="shared" si="18"/>
        <v>358748</v>
      </c>
      <c r="F30" s="96">
        <f t="shared" si="18"/>
        <v>361359</v>
      </c>
      <c r="G30" s="96">
        <f t="shared" si="18"/>
        <v>391144.11</v>
      </c>
      <c r="H30" s="96">
        <f t="shared" si="18"/>
        <v>440552.78</v>
      </c>
      <c r="I30" s="96">
        <f t="shared" si="18"/>
        <v>416045.31</v>
      </c>
      <c r="J30" s="96">
        <f t="shared" si="18"/>
        <v>434686</v>
      </c>
      <c r="K30" s="96">
        <f t="shared" si="18"/>
        <v>443655</v>
      </c>
      <c r="L30" s="96">
        <f t="shared" si="18"/>
        <v>488020.5</v>
      </c>
      <c r="M30" s="96">
        <f t="shared" si="18"/>
        <v>536822.55</v>
      </c>
      <c r="N30" s="94">
        <f>SUM(B30:M30)</f>
        <v>4980334.25</v>
      </c>
    </row>
    <row r="31" ht="14.25" customHeight="1">
      <c r="A31" s="104" t="s">
        <v>79</v>
      </c>
      <c r="B31" s="85">
        <f>Schedule_OPEX!B22</f>
        <v>8054</v>
      </c>
      <c r="C31" s="85">
        <f>Schedule_OPEX!C22</f>
        <v>14232</v>
      </c>
      <c r="D31" s="85">
        <f>Schedule_OPEX!D22</f>
        <v>5015</v>
      </c>
      <c r="E31" s="85">
        <f>Schedule_OPEX!E22</f>
        <v>11016</v>
      </c>
      <c r="F31" s="85">
        <f>Schedule_OPEX!F22</f>
        <v>5000</v>
      </c>
      <c r="G31" s="85">
        <f>Schedule_OPEX!G22</f>
        <v>5000</v>
      </c>
      <c r="H31" s="85">
        <f>Schedule_OPEX!H22</f>
        <v>8070</v>
      </c>
      <c r="I31" s="85">
        <f>Schedule_OPEX!I22</f>
        <v>0</v>
      </c>
      <c r="J31" s="85">
        <f>Schedule_OPEX!J22</f>
        <v>2500</v>
      </c>
      <c r="K31" s="85">
        <f>Schedule_OPEX!K22</f>
        <v>4000</v>
      </c>
      <c r="L31" s="85">
        <f>Schedule_OPEX!L22</f>
        <v>4400</v>
      </c>
      <c r="M31" s="85">
        <f>Schedule_OPEX!M22</f>
        <v>4840</v>
      </c>
      <c r="N31" s="79"/>
    </row>
    <row r="32" ht="14.25" customHeight="1">
      <c r="A32" s="104" t="s">
        <v>80</v>
      </c>
      <c r="B32" s="85">
        <f>Schedule_OPEX!B3</f>
        <v>13104</v>
      </c>
      <c r="C32" s="85">
        <f>Schedule_OPEX!C3</f>
        <v>43643</v>
      </c>
      <c r="D32" s="85">
        <f>Schedule_OPEX!D3</f>
        <v>91673</v>
      </c>
      <c r="E32" s="85">
        <f>Schedule_OPEX!E3</f>
        <v>33801</v>
      </c>
      <c r="F32" s="85">
        <f>Schedule_OPEX!F3</f>
        <v>26363</v>
      </c>
      <c r="G32" s="85">
        <f>Schedule_OPEX!G3</f>
        <v>33402</v>
      </c>
      <c r="H32" s="85">
        <f>Schedule_OPEX!H3</f>
        <v>75548.72</v>
      </c>
      <c r="I32" s="85">
        <f>Schedule_OPEX!I3</f>
        <v>44779</v>
      </c>
      <c r="J32" s="85">
        <f>Schedule_OPEX!J3</f>
        <v>45355</v>
      </c>
      <c r="K32" s="85">
        <f>Schedule_OPEX!K3</f>
        <v>126152</v>
      </c>
      <c r="L32" s="85">
        <f>Schedule_OPEX!L3</f>
        <v>138767.2</v>
      </c>
      <c r="M32" s="85">
        <f>Schedule_OPEX!M3</f>
        <v>152643.92</v>
      </c>
      <c r="N32" s="79"/>
    </row>
    <row r="33" ht="14.25" customHeight="1">
      <c r="A33" s="104" t="s">
        <v>81</v>
      </c>
      <c r="B33" s="85">
        <f>Schedule_OPEX!B15</f>
        <v>315569</v>
      </c>
      <c r="C33" s="85">
        <f>Schedule_OPEX!C15</f>
        <v>333814</v>
      </c>
      <c r="D33" s="85">
        <f>Schedule_OPEX!D15</f>
        <v>284197</v>
      </c>
      <c r="E33" s="85">
        <f>Schedule_OPEX!E15</f>
        <v>313931</v>
      </c>
      <c r="F33" s="85">
        <f>Schedule_OPEX!F15</f>
        <v>329926</v>
      </c>
      <c r="G33" s="85">
        <f>Schedule_OPEX!G15</f>
        <v>353303</v>
      </c>
      <c r="H33" s="85">
        <f>Schedule_OPEX!H15</f>
        <v>356918</v>
      </c>
      <c r="I33" s="85">
        <f>Schedule_OPEX!I15</f>
        <v>371259</v>
      </c>
      <c r="J33" s="85">
        <f>Schedule_OPEX!J15</f>
        <v>386831</v>
      </c>
      <c r="K33" s="85">
        <f>Schedule_OPEX!K15</f>
        <v>313503</v>
      </c>
      <c r="L33" s="85">
        <f>Schedule_OPEX!L15</f>
        <v>344853.3</v>
      </c>
      <c r="M33" s="85">
        <f>Schedule_OPEX!M15</f>
        <v>379338.63</v>
      </c>
      <c r="N33" s="79"/>
    </row>
    <row r="34" ht="14.25" customHeight="1">
      <c r="A34" s="104" t="s">
        <v>82</v>
      </c>
      <c r="B34" s="85" t="str">
        <f>Schedule_OPEX!B26</f>
        <v/>
      </c>
      <c r="C34" s="85" t="str">
        <f>Schedule_OPEX!C26</f>
        <v/>
      </c>
      <c r="D34" s="85" t="str">
        <f>Schedule_OPEX!D26</f>
        <v/>
      </c>
      <c r="E34" s="85" t="str">
        <f>Schedule_OPEX!E26</f>
        <v/>
      </c>
      <c r="F34" s="85">
        <f>Schedule_OPEX!F26</f>
        <v>70</v>
      </c>
      <c r="G34" s="85">
        <f>Schedule_OPEX!G26</f>
        <v>-560.89</v>
      </c>
      <c r="H34" s="85">
        <f>Schedule_OPEX!H26</f>
        <v>16.06</v>
      </c>
      <c r="I34" s="85">
        <f>Schedule_OPEX!I26</f>
        <v>7.31</v>
      </c>
      <c r="J34" s="85" t="str">
        <f>Schedule_OPEX!J26</f>
        <v/>
      </c>
      <c r="K34" s="85" t="str">
        <f>Schedule_OPEX!K26</f>
        <v/>
      </c>
      <c r="L34" s="85" t="str">
        <f>Schedule_OPEX!L26</f>
        <v/>
      </c>
      <c r="M34" s="85" t="str">
        <f>Schedule_OPEX!M26</f>
        <v/>
      </c>
      <c r="N34" s="79"/>
    </row>
    <row r="35" ht="14.25" customHeight="1">
      <c r="A35" s="104" t="s">
        <v>83</v>
      </c>
      <c r="B35" s="85"/>
      <c r="C35" s="84"/>
      <c r="D35" s="85"/>
      <c r="E35" s="84"/>
      <c r="F35" s="85"/>
      <c r="G35" s="84"/>
      <c r="H35" s="85"/>
      <c r="I35" s="84"/>
      <c r="J35" s="85"/>
      <c r="K35" s="84"/>
      <c r="L35" s="84"/>
      <c r="M35" s="84"/>
      <c r="N35" s="79"/>
    </row>
    <row r="36" ht="14.25" customHeight="1">
      <c r="A36" s="104" t="s">
        <v>84</v>
      </c>
      <c r="B36" s="85"/>
      <c r="C36" s="84"/>
      <c r="D36" s="85"/>
      <c r="E36" s="84"/>
      <c r="F36" s="85"/>
      <c r="G36" s="84"/>
      <c r="H36" s="85"/>
      <c r="I36" s="84"/>
      <c r="J36" s="85"/>
      <c r="K36" s="84"/>
      <c r="L36" s="84"/>
      <c r="M36" s="84"/>
      <c r="N36" s="79"/>
    </row>
    <row r="37" ht="14.25" customHeight="1">
      <c r="A37" s="104" t="s">
        <v>85</v>
      </c>
      <c r="B37" s="85"/>
      <c r="C37" s="84"/>
      <c r="D37" s="85"/>
      <c r="E37" s="84"/>
      <c r="F37" s="85"/>
      <c r="G37" s="84"/>
      <c r="H37" s="85"/>
      <c r="I37" s="84"/>
      <c r="J37" s="85"/>
      <c r="K37" s="84"/>
      <c r="L37" s="84"/>
      <c r="M37" s="84"/>
      <c r="N37" s="79"/>
    </row>
    <row r="38" ht="14.25" customHeight="1">
      <c r="A38" s="106" t="s">
        <v>86</v>
      </c>
      <c r="B38" s="85"/>
      <c r="C38" s="84"/>
      <c r="D38" s="85"/>
      <c r="E38" s="84"/>
      <c r="F38" s="85"/>
      <c r="G38" s="84"/>
      <c r="H38" s="85"/>
      <c r="I38" s="84"/>
      <c r="J38" s="85"/>
      <c r="K38" s="84"/>
      <c r="L38" s="84"/>
      <c r="M38" s="84"/>
      <c r="N38" s="79"/>
    </row>
    <row r="39" ht="14.25" customHeight="1">
      <c r="A39" s="97" t="s">
        <v>23</v>
      </c>
      <c r="B39" s="98">
        <f t="shared" ref="B39:N39" si="19">B22+B25-B30</f>
        <v>332598</v>
      </c>
      <c r="C39" s="98">
        <f t="shared" si="19"/>
        <v>441603</v>
      </c>
      <c r="D39" s="98">
        <f t="shared" si="19"/>
        <v>130468</v>
      </c>
      <c r="E39" s="98">
        <f t="shared" si="19"/>
        <v>401077</v>
      </c>
      <c r="F39" s="98">
        <f t="shared" si="19"/>
        <v>314704</v>
      </c>
      <c r="G39" s="98">
        <f t="shared" si="19"/>
        <v>233069.89</v>
      </c>
      <c r="H39" s="98">
        <f t="shared" si="19"/>
        <v>546717.22</v>
      </c>
      <c r="I39" s="98">
        <f t="shared" si="19"/>
        <v>530656.69</v>
      </c>
      <c r="J39" s="98">
        <f t="shared" si="19"/>
        <v>583722</v>
      </c>
      <c r="K39" s="98">
        <f t="shared" si="19"/>
        <v>210911</v>
      </c>
      <c r="L39" s="98">
        <f t="shared" si="19"/>
        <v>362915.3</v>
      </c>
      <c r="M39" s="98">
        <f t="shared" si="19"/>
        <v>569393.99</v>
      </c>
      <c r="N39" s="99">
        <f t="shared" si="19"/>
        <v>4657836.09</v>
      </c>
    </row>
    <row r="40" ht="14.25" customHeight="1">
      <c r="A40" s="107" t="s">
        <v>24</v>
      </c>
      <c r="B40" s="108">
        <f t="shared" ref="B40:N40" si="20">B39/B4</f>
        <v>0.3663481937</v>
      </c>
      <c r="C40" s="108">
        <f t="shared" si="20"/>
        <v>0.4091363908</v>
      </c>
      <c r="D40" s="108">
        <f t="shared" si="20"/>
        <v>0.1738078586</v>
      </c>
      <c r="E40" s="108">
        <f t="shared" si="20"/>
        <v>0.4142612795</v>
      </c>
      <c r="F40" s="108">
        <f t="shared" si="20"/>
        <v>0.3582960943</v>
      </c>
      <c r="G40" s="108">
        <f t="shared" si="20"/>
        <v>0.2722655043</v>
      </c>
      <c r="H40" s="108">
        <f t="shared" si="20"/>
        <v>0.4410635371</v>
      </c>
      <c r="I40" s="108">
        <f t="shared" si="20"/>
        <v>0.4412116226</v>
      </c>
      <c r="J40" s="108">
        <f t="shared" si="20"/>
        <v>0.4256916408</v>
      </c>
      <c r="K40" s="108">
        <f t="shared" si="20"/>
        <v>0.2193532485</v>
      </c>
      <c r="L40" s="108">
        <f t="shared" si="20"/>
        <v>0.2903399282</v>
      </c>
      <c r="M40" s="108">
        <f t="shared" si="20"/>
        <v>0.3504055803</v>
      </c>
      <c r="N40" s="99">
        <f t="shared" si="20"/>
        <v>0.355821879</v>
      </c>
    </row>
    <row r="41" ht="14.25" customHeight="1">
      <c r="A41" s="54"/>
      <c r="B41" s="109"/>
      <c r="C41" s="109"/>
      <c r="D41" s="109"/>
      <c r="E41" s="109"/>
      <c r="F41" s="109"/>
      <c r="G41" s="109"/>
      <c r="H41" s="109"/>
      <c r="I41" s="109"/>
      <c r="J41" s="109"/>
      <c r="K41" s="109"/>
      <c r="L41" s="109"/>
      <c r="M41" s="109"/>
      <c r="N41" s="110"/>
    </row>
    <row r="42" ht="14.25" customHeight="1">
      <c r="A42" s="104" t="s">
        <v>25</v>
      </c>
      <c r="B42" s="85">
        <f>Schedule_OPEX!B11</f>
        <v>561.6</v>
      </c>
      <c r="C42" s="85">
        <f>Schedule_OPEX!C11</f>
        <v>449.5</v>
      </c>
      <c r="D42" s="85">
        <f>Schedule_OPEX!D11</f>
        <v>455.4</v>
      </c>
      <c r="E42" s="85">
        <f>Schedule_OPEX!E11</f>
        <v>597</v>
      </c>
      <c r="F42" s="85">
        <f>Schedule_OPEX!F11</f>
        <v>1719.7</v>
      </c>
      <c r="G42" s="85">
        <f>Schedule_OPEX!G11</f>
        <v>779.9</v>
      </c>
      <c r="H42" s="85">
        <f>Schedule_OPEX!H11</f>
        <v>691.4</v>
      </c>
      <c r="I42" s="85">
        <f>Schedule_OPEX!I11</f>
        <v>791.7</v>
      </c>
      <c r="J42" s="85">
        <f>Schedule_OPEX!J11</f>
        <v>821.2</v>
      </c>
      <c r="K42" s="85">
        <f>Schedule_OPEX!K11</f>
        <v>792</v>
      </c>
      <c r="L42" s="85">
        <f>Schedule_OPEX!L11</f>
        <v>871.2</v>
      </c>
      <c r="M42" s="85">
        <f>Schedule_OPEX!M11</f>
        <v>958.32</v>
      </c>
      <c r="N42" s="102">
        <f>SUM(B42:M42)</f>
        <v>9488.92</v>
      </c>
    </row>
    <row r="43" ht="14.25" customHeight="1">
      <c r="A43" s="111"/>
      <c r="B43" s="85"/>
      <c r="C43" s="84"/>
      <c r="D43" s="85"/>
      <c r="E43" s="84"/>
      <c r="F43" s="85"/>
      <c r="G43" s="84"/>
      <c r="H43" s="85"/>
      <c r="I43" s="84"/>
      <c r="J43" s="85"/>
      <c r="K43" s="84"/>
      <c r="L43" s="85"/>
      <c r="M43" s="84"/>
      <c r="N43" s="79"/>
    </row>
    <row r="44" ht="14.25" customHeight="1">
      <c r="A44" s="97" t="s">
        <v>87</v>
      </c>
      <c r="B44" s="98">
        <f t="shared" ref="B44:N44" si="21">B39-B42</f>
        <v>332036.4</v>
      </c>
      <c r="C44" s="98">
        <f t="shared" si="21"/>
        <v>441153.5</v>
      </c>
      <c r="D44" s="98">
        <f t="shared" si="21"/>
        <v>130012.6</v>
      </c>
      <c r="E44" s="98">
        <f t="shared" si="21"/>
        <v>400480</v>
      </c>
      <c r="F44" s="98">
        <f t="shared" si="21"/>
        <v>312984.3</v>
      </c>
      <c r="G44" s="98">
        <f t="shared" si="21"/>
        <v>232289.99</v>
      </c>
      <c r="H44" s="98">
        <f t="shared" si="21"/>
        <v>546025.82</v>
      </c>
      <c r="I44" s="98">
        <f t="shared" si="21"/>
        <v>529864.99</v>
      </c>
      <c r="J44" s="98">
        <f t="shared" si="21"/>
        <v>582900.8</v>
      </c>
      <c r="K44" s="98">
        <f t="shared" si="21"/>
        <v>210119</v>
      </c>
      <c r="L44" s="98">
        <f t="shared" si="21"/>
        <v>362044.1</v>
      </c>
      <c r="M44" s="98">
        <f t="shared" si="21"/>
        <v>568435.67</v>
      </c>
      <c r="N44" s="99">
        <f t="shared" si="21"/>
        <v>4648347.17</v>
      </c>
    </row>
    <row r="45" ht="14.25" customHeight="1">
      <c r="A45" s="97" t="s">
        <v>88</v>
      </c>
      <c r="B45" s="108">
        <f t="shared" ref="B45:N45" si="22">B44/B4</f>
        <v>0.3657296057</v>
      </c>
      <c r="C45" s="108">
        <f t="shared" si="22"/>
        <v>0.408719938</v>
      </c>
      <c r="D45" s="108">
        <f t="shared" si="22"/>
        <v>0.1732011803</v>
      </c>
      <c r="E45" s="108">
        <f t="shared" si="22"/>
        <v>0.4136446548</v>
      </c>
      <c r="F45" s="108">
        <f t="shared" si="22"/>
        <v>0.3563381853</v>
      </c>
      <c r="G45" s="108">
        <f t="shared" si="22"/>
        <v>0.2713544476</v>
      </c>
      <c r="H45" s="108">
        <f t="shared" si="22"/>
        <v>0.4405057509</v>
      </c>
      <c r="I45" s="108">
        <f t="shared" si="22"/>
        <v>0.4405533679</v>
      </c>
      <c r="J45" s="108">
        <f t="shared" si="22"/>
        <v>0.4250927633</v>
      </c>
      <c r="K45" s="108">
        <f t="shared" si="22"/>
        <v>0.2185295467</v>
      </c>
      <c r="L45" s="108">
        <f t="shared" si="22"/>
        <v>0.2896429497</v>
      </c>
      <c r="M45" s="108">
        <f t="shared" si="22"/>
        <v>0.3498158293</v>
      </c>
      <c r="N45" s="99">
        <f t="shared" si="22"/>
        <v>0.3550970005</v>
      </c>
    </row>
    <row r="46" ht="14.25" customHeight="1">
      <c r="A46" s="112"/>
      <c r="B46" s="113"/>
      <c r="C46" s="114"/>
      <c r="D46" s="113"/>
      <c r="E46" s="114"/>
      <c r="F46" s="113"/>
      <c r="G46" s="114"/>
      <c r="H46" s="113"/>
      <c r="I46" s="114"/>
      <c r="J46" s="113"/>
      <c r="K46" s="114"/>
      <c r="L46" s="113"/>
      <c r="M46" s="114"/>
      <c r="N46" s="79"/>
    </row>
    <row r="47" ht="14.25" customHeight="1">
      <c r="A47" s="104" t="s">
        <v>26</v>
      </c>
      <c r="B47" s="113">
        <f t="shared" ref="B47:M47" si="23">280000/12</f>
        <v>23333.33333</v>
      </c>
      <c r="C47" s="113">
        <f t="shared" si="23"/>
        <v>23333.33333</v>
      </c>
      <c r="D47" s="113">
        <f t="shared" si="23"/>
        <v>23333.33333</v>
      </c>
      <c r="E47" s="113">
        <f t="shared" si="23"/>
        <v>23333.33333</v>
      </c>
      <c r="F47" s="113">
        <f t="shared" si="23"/>
        <v>23333.33333</v>
      </c>
      <c r="G47" s="113">
        <f t="shared" si="23"/>
        <v>23333.33333</v>
      </c>
      <c r="H47" s="113">
        <f t="shared" si="23"/>
        <v>23333.33333</v>
      </c>
      <c r="I47" s="113">
        <f t="shared" si="23"/>
        <v>23333.33333</v>
      </c>
      <c r="J47" s="113">
        <f t="shared" si="23"/>
        <v>23333.33333</v>
      </c>
      <c r="K47" s="113">
        <f t="shared" si="23"/>
        <v>23333.33333</v>
      </c>
      <c r="L47" s="113">
        <f t="shared" si="23"/>
        <v>23333.33333</v>
      </c>
      <c r="M47" s="113">
        <f t="shared" si="23"/>
        <v>23333.33333</v>
      </c>
      <c r="N47" s="102">
        <f>SUM(B47:M47)</f>
        <v>280000</v>
      </c>
    </row>
    <row r="48" ht="14.25" customHeight="1">
      <c r="A48" s="115"/>
      <c r="B48" s="85"/>
      <c r="C48" s="84"/>
      <c r="D48" s="85"/>
      <c r="E48" s="84"/>
      <c r="F48" s="85"/>
      <c r="G48" s="84"/>
      <c r="H48" s="85"/>
      <c r="I48" s="84"/>
      <c r="J48" s="85"/>
      <c r="K48" s="84"/>
      <c r="L48" s="85"/>
      <c r="M48" s="84"/>
      <c r="N48" s="79"/>
    </row>
    <row r="49" ht="14.25" customHeight="1">
      <c r="A49" s="97" t="s">
        <v>30</v>
      </c>
      <c r="B49" s="98">
        <f t="shared" ref="B49:N49" si="24">B44-B47</f>
        <v>308703.0667</v>
      </c>
      <c r="C49" s="98">
        <f t="shared" si="24"/>
        <v>417820.1667</v>
      </c>
      <c r="D49" s="98">
        <f t="shared" si="24"/>
        <v>106679.2667</v>
      </c>
      <c r="E49" s="98">
        <f t="shared" si="24"/>
        <v>377146.6667</v>
      </c>
      <c r="F49" s="98">
        <f t="shared" si="24"/>
        <v>289650.9667</v>
      </c>
      <c r="G49" s="98">
        <f t="shared" si="24"/>
        <v>208956.6567</v>
      </c>
      <c r="H49" s="98">
        <f t="shared" si="24"/>
        <v>522692.4867</v>
      </c>
      <c r="I49" s="98">
        <f t="shared" si="24"/>
        <v>506531.6567</v>
      </c>
      <c r="J49" s="98">
        <f t="shared" si="24"/>
        <v>559567.4667</v>
      </c>
      <c r="K49" s="98">
        <f t="shared" si="24"/>
        <v>186785.6667</v>
      </c>
      <c r="L49" s="98">
        <f t="shared" si="24"/>
        <v>338710.7667</v>
      </c>
      <c r="M49" s="98">
        <f t="shared" si="24"/>
        <v>545102.3367</v>
      </c>
      <c r="N49" s="99">
        <f t="shared" si="24"/>
        <v>4368347.17</v>
      </c>
    </row>
    <row r="50" ht="14.25" customHeight="1">
      <c r="A50" s="97" t="s">
        <v>31</v>
      </c>
      <c r="B50" s="108">
        <f t="shared" ref="B50:N50" si="25">B49/B4</f>
        <v>0.3400285355</v>
      </c>
      <c r="C50" s="108">
        <f t="shared" si="25"/>
        <v>0.3871020691</v>
      </c>
      <c r="D50" s="108">
        <f t="shared" si="25"/>
        <v>0.1421168018</v>
      </c>
      <c r="E50" s="108">
        <f t="shared" si="25"/>
        <v>0.3895443037</v>
      </c>
      <c r="F50" s="108">
        <f t="shared" si="25"/>
        <v>0.3297727708</v>
      </c>
      <c r="G50" s="108">
        <f t="shared" si="25"/>
        <v>0.2440971225</v>
      </c>
      <c r="H50" s="108">
        <f t="shared" si="25"/>
        <v>0.421681609</v>
      </c>
      <c r="I50" s="108">
        <f t="shared" si="25"/>
        <v>0.4211529947</v>
      </c>
      <c r="J50" s="108">
        <f t="shared" si="25"/>
        <v>0.4080764354</v>
      </c>
      <c r="K50" s="108">
        <f t="shared" si="25"/>
        <v>0.1942622374</v>
      </c>
      <c r="L50" s="108">
        <f t="shared" si="25"/>
        <v>0.2709757888</v>
      </c>
      <c r="M50" s="108">
        <f t="shared" si="25"/>
        <v>0.3354564747</v>
      </c>
      <c r="N50" s="99">
        <f t="shared" si="25"/>
        <v>0.3337072126</v>
      </c>
    </row>
    <row r="51" ht="14.25" customHeight="1">
      <c r="A51" s="54"/>
      <c r="B51" s="54"/>
      <c r="C51" s="54"/>
      <c r="D51" s="54"/>
      <c r="E51" s="54"/>
      <c r="F51" s="54"/>
      <c r="G51" s="54"/>
      <c r="H51" s="54"/>
      <c r="I51" s="54"/>
      <c r="J51" s="54"/>
      <c r="K51" s="54"/>
      <c r="L51" s="54"/>
      <c r="M51" s="54"/>
      <c r="N51" s="54"/>
    </row>
    <row r="52" ht="14.25" customHeight="1">
      <c r="A52" s="54"/>
      <c r="B52" s="54"/>
      <c r="C52" s="54"/>
      <c r="D52" s="54"/>
      <c r="E52" s="54"/>
      <c r="F52" s="54"/>
      <c r="G52" s="54"/>
      <c r="H52" s="54"/>
      <c r="I52" s="54"/>
      <c r="J52" s="54"/>
      <c r="K52" s="54"/>
      <c r="L52" s="54"/>
      <c r="M52" s="54"/>
      <c r="N52" s="54"/>
    </row>
    <row r="53" ht="14.25" customHeight="1">
      <c r="A53" s="116" t="s">
        <v>89</v>
      </c>
      <c r="B53" s="117">
        <v>766429.0</v>
      </c>
      <c r="C53" s="117">
        <v>912115.0</v>
      </c>
      <c r="D53" s="117">
        <v>594338.0</v>
      </c>
      <c r="E53" s="117">
        <v>810124.0</v>
      </c>
      <c r="F53" s="117">
        <v>774453.0</v>
      </c>
      <c r="G53" s="117">
        <v>628884.0</v>
      </c>
      <c r="H53" s="117">
        <v>1055326.0</v>
      </c>
      <c r="I53" s="117">
        <v>1056006.0</v>
      </c>
      <c r="J53" s="117">
        <v>1223138.0</v>
      </c>
      <c r="K53" s="117">
        <v>817665.0</v>
      </c>
      <c r="L53" s="54"/>
      <c r="M53" s="54"/>
      <c r="N53" s="117">
        <f t="shared" ref="N53:N54" si="27">sum(B53:M53)</f>
        <v>8638478</v>
      </c>
    </row>
    <row r="54" ht="14.25" customHeight="1">
      <c r="A54" s="118" t="s">
        <v>90</v>
      </c>
      <c r="B54" s="119">
        <f t="shared" ref="B54:K54" si="26">B4-B53</f>
        <v>141445</v>
      </c>
      <c r="C54" s="119">
        <f t="shared" si="26"/>
        <v>167239</v>
      </c>
      <c r="D54" s="119">
        <f t="shared" si="26"/>
        <v>156307</v>
      </c>
      <c r="E54" s="119">
        <f t="shared" si="26"/>
        <v>158050</v>
      </c>
      <c r="F54" s="119">
        <f t="shared" si="26"/>
        <v>103882</v>
      </c>
      <c r="G54" s="119">
        <f t="shared" si="26"/>
        <v>227155</v>
      </c>
      <c r="H54" s="119">
        <f t="shared" si="26"/>
        <v>184217</v>
      </c>
      <c r="I54" s="119">
        <f t="shared" si="26"/>
        <v>146720</v>
      </c>
      <c r="J54" s="119">
        <f t="shared" si="26"/>
        <v>148094</v>
      </c>
      <c r="K54" s="119">
        <f t="shared" si="26"/>
        <v>143848</v>
      </c>
      <c r="L54" s="120"/>
      <c r="M54" s="120"/>
      <c r="N54" s="119">
        <f t="shared" si="27"/>
        <v>1576957</v>
      </c>
    </row>
    <row r="55" ht="14.25" customHeight="1">
      <c r="A55" s="54"/>
      <c r="B55" s="54"/>
      <c r="C55" s="54"/>
      <c r="D55" s="54"/>
      <c r="E55" s="54"/>
      <c r="F55" s="54"/>
      <c r="G55" s="54"/>
      <c r="H55" s="54"/>
      <c r="I55" s="54"/>
      <c r="J55" s="54"/>
      <c r="K55" s="54"/>
      <c r="L55" s="54"/>
      <c r="M55" s="54"/>
      <c r="N55" s="54"/>
    </row>
    <row r="56" ht="14.25" customHeight="1">
      <c r="A56" s="54"/>
      <c r="B56" s="54"/>
      <c r="C56" s="54"/>
      <c r="D56" s="54"/>
      <c r="E56" s="54"/>
      <c r="F56" s="54"/>
      <c r="G56" s="54"/>
      <c r="H56" s="54"/>
      <c r="I56" s="54"/>
      <c r="J56" s="54"/>
      <c r="K56" s="54"/>
      <c r="L56" s="54"/>
      <c r="M56" s="54"/>
      <c r="N56" s="54"/>
    </row>
    <row r="57" ht="14.25" customHeight="1">
      <c r="A57" s="54"/>
      <c r="B57" s="54"/>
      <c r="C57" s="54"/>
      <c r="D57" s="54"/>
      <c r="E57" s="54"/>
      <c r="F57" s="54"/>
      <c r="G57" s="54"/>
      <c r="H57" s="54"/>
      <c r="I57" s="54"/>
      <c r="J57" s="54"/>
      <c r="K57" s="54"/>
      <c r="L57" s="54"/>
      <c r="M57" s="54"/>
      <c r="N57" s="54"/>
    </row>
    <row r="58" ht="14.25" customHeight="1">
      <c r="A58" s="54"/>
      <c r="B58" s="54"/>
      <c r="C58" s="54"/>
      <c r="D58" s="54"/>
      <c r="E58" s="54"/>
      <c r="F58" s="54"/>
      <c r="G58" s="54"/>
      <c r="H58" s="54"/>
      <c r="I58" s="54"/>
      <c r="J58" s="54"/>
      <c r="K58" s="54"/>
      <c r="L58" s="54"/>
      <c r="M58" s="54"/>
      <c r="N58" s="54"/>
    </row>
    <row r="59" ht="14.25" customHeight="1">
      <c r="A59" s="54"/>
      <c r="B59" s="54"/>
      <c r="C59" s="54"/>
      <c r="D59" s="54"/>
      <c r="E59" s="54"/>
      <c r="F59" s="54"/>
      <c r="G59" s="54"/>
      <c r="H59" s="54"/>
      <c r="I59" s="54"/>
      <c r="J59" s="54"/>
      <c r="K59" s="54"/>
      <c r="L59" s="54"/>
      <c r="M59" s="54"/>
      <c r="N59" s="54"/>
    </row>
    <row r="60" ht="14.25" customHeight="1">
      <c r="A60" s="54"/>
      <c r="B60" s="54"/>
      <c r="C60" s="54"/>
      <c r="D60" s="54"/>
      <c r="E60" s="54"/>
      <c r="F60" s="54"/>
      <c r="G60" s="54"/>
      <c r="H60" s="54"/>
      <c r="I60" s="54"/>
      <c r="J60" s="54"/>
      <c r="K60" s="54"/>
      <c r="L60" s="54"/>
      <c r="M60" s="54"/>
      <c r="N60" s="54"/>
    </row>
    <row r="61" ht="14.25" customHeight="1">
      <c r="A61" s="54"/>
      <c r="B61" s="54"/>
      <c r="C61" s="54"/>
      <c r="D61" s="54"/>
      <c r="E61" s="54"/>
      <c r="F61" s="54"/>
      <c r="G61" s="54"/>
      <c r="H61" s="54"/>
      <c r="I61" s="54"/>
      <c r="J61" s="54"/>
      <c r="K61" s="54"/>
      <c r="L61" s="54"/>
      <c r="M61" s="54"/>
      <c r="N61" s="54"/>
    </row>
    <row r="62" ht="14.25" customHeight="1">
      <c r="A62" s="54"/>
      <c r="B62" s="54"/>
      <c r="C62" s="54"/>
      <c r="D62" s="54"/>
      <c r="E62" s="54"/>
      <c r="F62" s="54"/>
      <c r="G62" s="54"/>
      <c r="H62" s="54"/>
      <c r="I62" s="54"/>
      <c r="J62" s="54"/>
      <c r="K62" s="54"/>
      <c r="L62" s="54"/>
      <c r="M62" s="54"/>
      <c r="N62" s="54"/>
    </row>
    <row r="63" ht="14.25" customHeight="1">
      <c r="A63" s="54"/>
      <c r="B63" s="54"/>
      <c r="C63" s="54"/>
      <c r="D63" s="54"/>
      <c r="E63" s="54"/>
      <c r="F63" s="54"/>
      <c r="G63" s="54"/>
      <c r="H63" s="54"/>
      <c r="I63" s="54"/>
      <c r="J63" s="54"/>
      <c r="K63" s="54"/>
      <c r="L63" s="54"/>
      <c r="M63" s="54"/>
      <c r="N63" s="54"/>
    </row>
    <row r="64" ht="14.25" customHeight="1">
      <c r="A64" s="54"/>
      <c r="B64" s="54"/>
      <c r="C64" s="54"/>
      <c r="D64" s="54"/>
      <c r="E64" s="54"/>
      <c r="F64" s="54"/>
      <c r="G64" s="54"/>
      <c r="H64" s="54"/>
      <c r="I64" s="54"/>
      <c r="J64" s="54"/>
      <c r="K64" s="54"/>
      <c r="L64" s="54"/>
      <c r="M64" s="54"/>
      <c r="N64" s="54"/>
    </row>
    <row r="65" ht="14.25" customHeight="1">
      <c r="A65" s="54"/>
      <c r="B65" s="54"/>
      <c r="C65" s="54"/>
      <c r="D65" s="54"/>
      <c r="E65" s="54"/>
      <c r="F65" s="54"/>
      <c r="G65" s="54"/>
      <c r="H65" s="54"/>
      <c r="I65" s="54"/>
      <c r="J65" s="54"/>
      <c r="K65" s="54"/>
      <c r="L65" s="54"/>
      <c r="M65" s="54"/>
      <c r="N65" s="54"/>
    </row>
    <row r="66" ht="14.25" customHeight="1">
      <c r="A66" s="54"/>
      <c r="B66" s="54"/>
      <c r="C66" s="54"/>
      <c r="D66" s="54"/>
      <c r="E66" s="54"/>
      <c r="F66" s="54"/>
      <c r="G66" s="54"/>
      <c r="H66" s="54"/>
      <c r="I66" s="54"/>
      <c r="J66" s="54"/>
      <c r="K66" s="54"/>
      <c r="L66" s="54"/>
      <c r="M66" s="54"/>
      <c r="N66" s="54"/>
    </row>
    <row r="67" ht="14.25" customHeight="1">
      <c r="A67" s="54"/>
      <c r="B67" s="54"/>
      <c r="C67" s="54"/>
      <c r="D67" s="54"/>
      <c r="E67" s="54"/>
      <c r="F67" s="54"/>
      <c r="G67" s="54"/>
      <c r="H67" s="54"/>
      <c r="I67" s="54"/>
      <c r="J67" s="54"/>
      <c r="K67" s="54"/>
      <c r="L67" s="54"/>
      <c r="M67" s="54"/>
      <c r="N67" s="54"/>
    </row>
    <row r="68" ht="14.25" customHeight="1">
      <c r="A68" s="54"/>
      <c r="B68" s="54"/>
      <c r="C68" s="54"/>
      <c r="D68" s="54"/>
      <c r="E68" s="54"/>
      <c r="F68" s="54"/>
      <c r="G68" s="54"/>
      <c r="H68" s="54"/>
      <c r="I68" s="54"/>
      <c r="J68" s="54"/>
      <c r="K68" s="54"/>
      <c r="L68" s="54"/>
      <c r="M68" s="54"/>
      <c r="N68" s="54"/>
    </row>
    <row r="69" ht="14.25" customHeight="1">
      <c r="A69" s="54"/>
      <c r="B69" s="54"/>
      <c r="C69" s="54"/>
      <c r="D69" s="54"/>
      <c r="E69" s="54"/>
      <c r="F69" s="54"/>
      <c r="G69" s="54"/>
      <c r="H69" s="54"/>
      <c r="I69" s="54"/>
      <c r="J69" s="54"/>
      <c r="K69" s="54"/>
      <c r="L69" s="54"/>
      <c r="M69" s="54"/>
      <c r="N69" s="54"/>
    </row>
    <row r="70" ht="14.25" customHeight="1">
      <c r="A70" s="54"/>
      <c r="B70" s="54"/>
      <c r="C70" s="54"/>
      <c r="D70" s="54"/>
      <c r="E70" s="54"/>
      <c r="F70" s="54"/>
      <c r="G70" s="54"/>
      <c r="H70" s="54"/>
      <c r="I70" s="54"/>
      <c r="J70" s="54"/>
      <c r="K70" s="54"/>
      <c r="L70" s="54"/>
      <c r="M70" s="54"/>
      <c r="N70" s="54"/>
    </row>
    <row r="71" ht="14.25" customHeight="1">
      <c r="A71" s="54"/>
      <c r="B71" s="54"/>
      <c r="C71" s="54"/>
      <c r="D71" s="54"/>
      <c r="E71" s="54"/>
      <c r="F71" s="54"/>
      <c r="G71" s="54"/>
      <c r="H71" s="54"/>
      <c r="I71" s="54"/>
      <c r="J71" s="54"/>
      <c r="K71" s="54"/>
      <c r="L71" s="54"/>
      <c r="M71" s="54"/>
      <c r="N71" s="54"/>
    </row>
    <row r="72" ht="14.25" customHeight="1">
      <c r="A72" s="54"/>
      <c r="B72" s="54"/>
      <c r="C72" s="54"/>
      <c r="D72" s="54"/>
      <c r="E72" s="54"/>
      <c r="F72" s="54"/>
      <c r="G72" s="54"/>
      <c r="H72" s="54"/>
      <c r="I72" s="54"/>
      <c r="J72" s="54"/>
      <c r="K72" s="54"/>
      <c r="L72" s="54"/>
      <c r="M72" s="54"/>
      <c r="N72" s="54"/>
    </row>
    <row r="73" ht="14.25" customHeight="1">
      <c r="A73" s="54"/>
      <c r="B73" s="54"/>
      <c r="C73" s="54"/>
      <c r="D73" s="54"/>
      <c r="E73" s="54"/>
      <c r="F73" s="54"/>
      <c r="G73" s="54"/>
      <c r="H73" s="54"/>
      <c r="I73" s="54"/>
      <c r="J73" s="54"/>
      <c r="K73" s="54"/>
      <c r="L73" s="54"/>
      <c r="M73" s="54"/>
      <c r="N73" s="54"/>
    </row>
    <row r="74" ht="14.25" customHeight="1">
      <c r="A74" s="54"/>
      <c r="B74" s="54"/>
      <c r="C74" s="54"/>
      <c r="D74" s="54"/>
      <c r="E74" s="54"/>
      <c r="F74" s="54"/>
      <c r="G74" s="54"/>
      <c r="H74" s="54"/>
      <c r="I74" s="54"/>
      <c r="J74" s="54"/>
      <c r="K74" s="54"/>
      <c r="L74" s="54"/>
      <c r="M74" s="54"/>
      <c r="N74" s="54"/>
    </row>
    <row r="75" ht="14.25" customHeight="1">
      <c r="A75" s="54"/>
      <c r="B75" s="54"/>
      <c r="C75" s="54"/>
      <c r="D75" s="54"/>
      <c r="E75" s="54"/>
      <c r="F75" s="54"/>
      <c r="G75" s="54"/>
      <c r="H75" s="54"/>
      <c r="I75" s="54"/>
      <c r="J75" s="54"/>
      <c r="K75" s="54"/>
      <c r="L75" s="54"/>
      <c r="M75" s="54"/>
      <c r="N75" s="54"/>
    </row>
    <row r="76" ht="14.25" customHeight="1">
      <c r="A76" s="54"/>
      <c r="B76" s="54"/>
      <c r="C76" s="54"/>
      <c r="D76" s="54"/>
      <c r="E76" s="54"/>
      <c r="F76" s="54"/>
      <c r="G76" s="54"/>
      <c r="H76" s="54"/>
      <c r="I76" s="54"/>
      <c r="J76" s="54"/>
      <c r="K76" s="54"/>
      <c r="L76" s="54"/>
      <c r="M76" s="54"/>
      <c r="N76" s="54"/>
    </row>
    <row r="77" ht="14.25" customHeight="1">
      <c r="A77" s="54"/>
      <c r="B77" s="54"/>
      <c r="C77" s="54"/>
      <c r="D77" s="54"/>
      <c r="E77" s="54"/>
      <c r="F77" s="54"/>
      <c r="G77" s="54"/>
      <c r="H77" s="54"/>
      <c r="I77" s="54"/>
      <c r="J77" s="54"/>
      <c r="K77" s="54"/>
      <c r="L77" s="54"/>
      <c r="M77" s="54"/>
      <c r="N77" s="54"/>
    </row>
    <row r="78" ht="14.25" customHeight="1">
      <c r="A78" s="54"/>
      <c r="B78" s="54"/>
      <c r="C78" s="54"/>
      <c r="D78" s="54"/>
      <c r="E78" s="54"/>
      <c r="F78" s="54"/>
      <c r="G78" s="54"/>
      <c r="H78" s="54"/>
      <c r="I78" s="54"/>
      <c r="J78" s="54"/>
      <c r="K78" s="54"/>
      <c r="L78" s="54"/>
      <c r="M78" s="54"/>
      <c r="N78" s="54"/>
    </row>
    <row r="79" ht="14.25" customHeight="1">
      <c r="A79" s="54"/>
      <c r="B79" s="54"/>
      <c r="C79" s="54"/>
      <c r="D79" s="54"/>
      <c r="E79" s="54"/>
      <c r="F79" s="54"/>
      <c r="G79" s="54"/>
      <c r="H79" s="54"/>
      <c r="I79" s="54"/>
      <c r="J79" s="54"/>
      <c r="K79" s="54"/>
      <c r="L79" s="54"/>
      <c r="M79" s="54"/>
      <c r="N79" s="54"/>
    </row>
    <row r="80" ht="14.25" customHeight="1">
      <c r="A80" s="54"/>
      <c r="B80" s="54"/>
      <c r="C80" s="54"/>
      <c r="D80" s="54"/>
      <c r="E80" s="54"/>
      <c r="F80" s="54"/>
      <c r="G80" s="54"/>
      <c r="H80" s="54"/>
      <c r="I80" s="54"/>
      <c r="J80" s="54"/>
      <c r="K80" s="54"/>
      <c r="L80" s="54"/>
      <c r="M80" s="54"/>
      <c r="N80" s="54"/>
    </row>
    <row r="81" ht="14.25" customHeight="1">
      <c r="A81" s="54"/>
      <c r="B81" s="54"/>
      <c r="C81" s="54"/>
      <c r="D81" s="54"/>
      <c r="E81" s="54"/>
      <c r="F81" s="54"/>
      <c r="G81" s="54"/>
      <c r="H81" s="54"/>
      <c r="I81" s="54"/>
      <c r="J81" s="54"/>
      <c r="K81" s="54"/>
      <c r="L81" s="54"/>
      <c r="M81" s="54"/>
      <c r="N81" s="54"/>
    </row>
    <row r="82" ht="14.25" customHeight="1">
      <c r="A82" s="54"/>
      <c r="B82" s="54"/>
      <c r="C82" s="54"/>
      <c r="D82" s="54"/>
      <c r="E82" s="54"/>
      <c r="F82" s="54"/>
      <c r="G82" s="54"/>
      <c r="H82" s="54"/>
      <c r="I82" s="54"/>
      <c r="J82" s="54"/>
      <c r="K82" s="54"/>
      <c r="L82" s="54"/>
      <c r="M82" s="54"/>
      <c r="N82" s="54"/>
    </row>
    <row r="83" ht="14.25" customHeight="1">
      <c r="A83" s="54"/>
      <c r="B83" s="54"/>
      <c r="C83" s="54"/>
      <c r="D83" s="54"/>
      <c r="E83" s="54"/>
      <c r="F83" s="54"/>
      <c r="G83" s="54"/>
      <c r="H83" s="54"/>
      <c r="I83" s="54"/>
      <c r="J83" s="54"/>
      <c r="K83" s="54"/>
      <c r="L83" s="54"/>
      <c r="M83" s="54"/>
      <c r="N83" s="54"/>
    </row>
    <row r="84" ht="14.25" customHeight="1">
      <c r="A84" s="54"/>
      <c r="B84" s="54"/>
      <c r="C84" s="54"/>
      <c r="D84" s="54"/>
      <c r="E84" s="54"/>
      <c r="F84" s="54"/>
      <c r="G84" s="54"/>
      <c r="H84" s="54"/>
      <c r="I84" s="54"/>
      <c r="J84" s="54"/>
      <c r="K84" s="54"/>
      <c r="L84" s="54"/>
      <c r="M84" s="54"/>
      <c r="N84" s="54"/>
    </row>
    <row r="85" ht="14.25" customHeight="1">
      <c r="A85" s="54"/>
      <c r="B85" s="54"/>
      <c r="C85" s="54"/>
      <c r="D85" s="54"/>
      <c r="E85" s="54"/>
      <c r="F85" s="54"/>
      <c r="G85" s="54"/>
      <c r="H85" s="54"/>
      <c r="I85" s="54"/>
      <c r="J85" s="54"/>
      <c r="K85" s="54"/>
      <c r="L85" s="54"/>
      <c r="M85" s="54"/>
      <c r="N85" s="54"/>
    </row>
    <row r="86" ht="14.25" customHeight="1">
      <c r="A86" s="54"/>
      <c r="B86" s="54"/>
      <c r="C86" s="54"/>
      <c r="D86" s="54"/>
      <c r="E86" s="54"/>
      <c r="F86" s="54"/>
      <c r="G86" s="54"/>
      <c r="H86" s="54"/>
      <c r="I86" s="54"/>
      <c r="J86" s="54"/>
      <c r="K86" s="54"/>
      <c r="L86" s="54"/>
      <c r="M86" s="54"/>
      <c r="N86" s="54"/>
    </row>
    <row r="87" ht="14.25" customHeight="1">
      <c r="A87" s="54"/>
      <c r="B87" s="54"/>
      <c r="C87" s="54"/>
      <c r="D87" s="54"/>
      <c r="E87" s="54"/>
      <c r="F87" s="54"/>
      <c r="G87" s="54"/>
      <c r="H87" s="54"/>
      <c r="I87" s="54"/>
      <c r="J87" s="54"/>
      <c r="K87" s="54"/>
      <c r="L87" s="54"/>
      <c r="M87" s="54"/>
      <c r="N87" s="54"/>
    </row>
    <row r="88" ht="14.25" customHeight="1">
      <c r="A88" s="54"/>
      <c r="B88" s="54"/>
      <c r="C88" s="54"/>
      <c r="D88" s="54"/>
      <c r="E88" s="54"/>
      <c r="F88" s="54"/>
      <c r="G88" s="54"/>
      <c r="H88" s="54"/>
      <c r="I88" s="54"/>
      <c r="J88" s="54"/>
      <c r="K88" s="54"/>
      <c r="L88" s="54"/>
      <c r="M88" s="54"/>
      <c r="N88" s="54"/>
    </row>
    <row r="89" ht="14.25" customHeight="1">
      <c r="A89" s="54"/>
      <c r="B89" s="54"/>
      <c r="C89" s="54"/>
      <c r="D89" s="54"/>
      <c r="E89" s="54"/>
      <c r="F89" s="54"/>
      <c r="G89" s="54"/>
      <c r="H89" s="54"/>
      <c r="I89" s="54"/>
      <c r="J89" s="54"/>
      <c r="K89" s="54"/>
      <c r="L89" s="54"/>
      <c r="M89" s="54"/>
      <c r="N89" s="54"/>
    </row>
    <row r="90" ht="14.25" customHeight="1">
      <c r="A90" s="54"/>
      <c r="B90" s="54"/>
      <c r="C90" s="54"/>
      <c r="D90" s="54"/>
      <c r="E90" s="54"/>
      <c r="F90" s="54"/>
      <c r="G90" s="54"/>
      <c r="H90" s="54"/>
      <c r="I90" s="54"/>
      <c r="J90" s="54"/>
      <c r="K90" s="54"/>
      <c r="L90" s="54"/>
      <c r="M90" s="54"/>
      <c r="N90" s="54"/>
    </row>
    <row r="91" ht="14.25" customHeight="1">
      <c r="A91" s="54"/>
      <c r="B91" s="54"/>
      <c r="C91" s="54"/>
      <c r="D91" s="54"/>
      <c r="E91" s="54"/>
      <c r="F91" s="54"/>
      <c r="G91" s="54"/>
      <c r="H91" s="54"/>
      <c r="I91" s="54"/>
      <c r="J91" s="54"/>
      <c r="K91" s="54"/>
      <c r="L91" s="54"/>
      <c r="M91" s="54"/>
      <c r="N91" s="54"/>
    </row>
    <row r="92" ht="14.25" customHeight="1">
      <c r="A92" s="54"/>
      <c r="B92" s="54"/>
      <c r="C92" s="54"/>
      <c r="D92" s="54"/>
      <c r="E92" s="54"/>
      <c r="F92" s="54"/>
      <c r="G92" s="54"/>
      <c r="H92" s="54"/>
      <c r="I92" s="54"/>
      <c r="J92" s="54"/>
      <c r="K92" s="54"/>
      <c r="L92" s="54"/>
      <c r="M92" s="54"/>
      <c r="N92" s="54"/>
    </row>
    <row r="93" ht="14.25" customHeight="1">
      <c r="A93" s="54"/>
      <c r="B93" s="54"/>
      <c r="C93" s="54"/>
      <c r="D93" s="54"/>
      <c r="E93" s="54"/>
      <c r="F93" s="54"/>
      <c r="G93" s="54"/>
      <c r="H93" s="54"/>
      <c r="I93" s="54"/>
      <c r="J93" s="54"/>
      <c r="K93" s="54"/>
      <c r="L93" s="54"/>
      <c r="M93" s="54"/>
      <c r="N93" s="54"/>
    </row>
    <row r="94" ht="14.25" customHeight="1">
      <c r="A94" s="54"/>
      <c r="B94" s="54"/>
      <c r="C94" s="54"/>
      <c r="D94" s="54"/>
      <c r="E94" s="54"/>
      <c r="F94" s="54"/>
      <c r="G94" s="54"/>
      <c r="H94" s="54"/>
      <c r="I94" s="54"/>
      <c r="J94" s="54"/>
      <c r="K94" s="54"/>
      <c r="L94" s="54"/>
      <c r="M94" s="54"/>
      <c r="N94" s="54"/>
    </row>
    <row r="95" ht="14.25" customHeight="1">
      <c r="A95" s="54"/>
      <c r="B95" s="54"/>
      <c r="C95" s="54"/>
      <c r="D95" s="54"/>
      <c r="E95" s="54"/>
      <c r="F95" s="54"/>
      <c r="G95" s="54"/>
      <c r="H95" s="54"/>
      <c r="I95" s="54"/>
      <c r="J95" s="54"/>
      <c r="K95" s="54"/>
      <c r="L95" s="54"/>
      <c r="M95" s="54"/>
      <c r="N95" s="54"/>
    </row>
    <row r="96" ht="14.25" customHeight="1">
      <c r="A96" s="54"/>
      <c r="B96" s="54"/>
      <c r="C96" s="54"/>
      <c r="D96" s="54"/>
      <c r="E96" s="54"/>
      <c r="F96" s="54"/>
      <c r="G96" s="54"/>
      <c r="H96" s="54"/>
      <c r="I96" s="54"/>
      <c r="J96" s="54"/>
      <c r="K96" s="54"/>
      <c r="L96" s="54"/>
      <c r="M96" s="54"/>
      <c r="N96" s="54"/>
    </row>
    <row r="97" ht="14.25" customHeight="1">
      <c r="A97" s="54"/>
      <c r="B97" s="54"/>
      <c r="C97" s="54"/>
      <c r="D97" s="54"/>
      <c r="E97" s="54"/>
      <c r="F97" s="54"/>
      <c r="G97" s="54"/>
      <c r="H97" s="54"/>
      <c r="I97" s="54"/>
      <c r="J97" s="54"/>
      <c r="K97" s="54"/>
      <c r="L97" s="54"/>
      <c r="M97" s="54"/>
      <c r="N97" s="54"/>
    </row>
    <row r="98" ht="14.25" customHeight="1">
      <c r="A98" s="54"/>
      <c r="B98" s="54"/>
      <c r="C98" s="54"/>
      <c r="D98" s="54"/>
      <c r="E98" s="54"/>
      <c r="F98" s="54"/>
      <c r="G98" s="54"/>
      <c r="H98" s="54"/>
      <c r="I98" s="54"/>
      <c r="J98" s="54"/>
      <c r="K98" s="54"/>
      <c r="L98" s="54"/>
      <c r="M98" s="54"/>
      <c r="N98" s="54"/>
    </row>
    <row r="99" ht="14.25" customHeight="1">
      <c r="A99" s="54"/>
      <c r="B99" s="54"/>
      <c r="C99" s="54"/>
      <c r="D99" s="54"/>
      <c r="E99" s="54"/>
      <c r="F99" s="54"/>
      <c r="G99" s="54"/>
      <c r="H99" s="54"/>
      <c r="I99" s="54"/>
      <c r="J99" s="54"/>
      <c r="K99" s="54"/>
      <c r="L99" s="54"/>
      <c r="M99" s="54"/>
      <c r="N99" s="54"/>
    </row>
    <row r="100" ht="14.25" customHeight="1">
      <c r="A100" s="54"/>
      <c r="B100" s="54"/>
      <c r="C100" s="54"/>
      <c r="D100" s="54"/>
      <c r="E100" s="54"/>
      <c r="F100" s="54"/>
      <c r="G100" s="54"/>
      <c r="H100" s="54"/>
      <c r="I100" s="54"/>
      <c r="J100" s="54"/>
      <c r="K100" s="54"/>
      <c r="L100" s="54"/>
      <c r="M100" s="54"/>
      <c r="N100" s="54"/>
    </row>
    <row r="101" ht="14.25" customHeight="1">
      <c r="A101" s="54"/>
      <c r="B101" s="54"/>
      <c r="C101" s="54"/>
      <c r="D101" s="54"/>
      <c r="E101" s="54"/>
      <c r="F101" s="54"/>
      <c r="G101" s="54"/>
      <c r="H101" s="54"/>
      <c r="I101" s="54"/>
      <c r="J101" s="54"/>
      <c r="K101" s="54"/>
      <c r="L101" s="54"/>
      <c r="M101" s="54"/>
      <c r="N101" s="54"/>
    </row>
    <row r="102" ht="14.25" customHeight="1">
      <c r="A102" s="54"/>
      <c r="B102" s="54"/>
      <c r="C102" s="54"/>
      <c r="D102" s="54"/>
      <c r="E102" s="54"/>
      <c r="F102" s="54"/>
      <c r="G102" s="54"/>
      <c r="H102" s="54"/>
      <c r="I102" s="54"/>
      <c r="J102" s="54"/>
      <c r="K102" s="54"/>
      <c r="L102" s="54"/>
      <c r="M102" s="54"/>
      <c r="N102" s="54"/>
    </row>
    <row r="103" ht="14.25" customHeight="1">
      <c r="A103" s="54"/>
      <c r="B103" s="54"/>
      <c r="C103" s="54"/>
      <c r="D103" s="54"/>
      <c r="E103" s="54"/>
      <c r="F103" s="54"/>
      <c r="G103" s="54"/>
      <c r="H103" s="54"/>
      <c r="I103" s="54"/>
      <c r="J103" s="54"/>
      <c r="K103" s="54"/>
      <c r="L103" s="54"/>
      <c r="M103" s="54"/>
      <c r="N103" s="54"/>
    </row>
    <row r="104" ht="14.25" customHeight="1">
      <c r="A104" s="54"/>
      <c r="B104" s="54"/>
      <c r="C104" s="54"/>
      <c r="D104" s="54"/>
      <c r="E104" s="54"/>
      <c r="F104" s="54"/>
      <c r="G104" s="54"/>
      <c r="H104" s="54"/>
      <c r="I104" s="54"/>
      <c r="J104" s="54"/>
      <c r="K104" s="54"/>
      <c r="L104" s="54"/>
      <c r="M104" s="54"/>
      <c r="N104" s="54"/>
    </row>
    <row r="105" ht="14.25" customHeight="1">
      <c r="A105" s="54"/>
      <c r="B105" s="54"/>
      <c r="C105" s="54"/>
      <c r="D105" s="54"/>
      <c r="E105" s="54"/>
      <c r="F105" s="54"/>
      <c r="G105" s="54"/>
      <c r="H105" s="54"/>
      <c r="I105" s="54"/>
      <c r="J105" s="54"/>
      <c r="K105" s="54"/>
      <c r="L105" s="54"/>
      <c r="M105" s="54"/>
      <c r="N105" s="54"/>
    </row>
    <row r="106" ht="14.25" customHeight="1">
      <c r="A106" s="54"/>
      <c r="B106" s="54"/>
      <c r="C106" s="54"/>
      <c r="D106" s="54"/>
      <c r="E106" s="54"/>
      <c r="F106" s="54"/>
      <c r="G106" s="54"/>
      <c r="H106" s="54"/>
      <c r="I106" s="54"/>
      <c r="J106" s="54"/>
      <c r="K106" s="54"/>
      <c r="L106" s="54"/>
      <c r="M106" s="54"/>
      <c r="N106" s="54"/>
    </row>
    <row r="107" ht="14.25" customHeight="1">
      <c r="A107" s="54"/>
      <c r="B107" s="54"/>
      <c r="C107" s="54"/>
      <c r="D107" s="54"/>
      <c r="E107" s="54"/>
      <c r="F107" s="54"/>
      <c r="G107" s="54"/>
      <c r="H107" s="54"/>
      <c r="I107" s="54"/>
      <c r="J107" s="54"/>
      <c r="K107" s="54"/>
      <c r="L107" s="54"/>
      <c r="M107" s="54"/>
      <c r="N107" s="54"/>
    </row>
    <row r="108" ht="14.25" customHeight="1">
      <c r="A108" s="54"/>
      <c r="B108" s="54"/>
      <c r="C108" s="54"/>
      <c r="D108" s="54"/>
      <c r="E108" s="54"/>
      <c r="F108" s="54"/>
      <c r="G108" s="54"/>
      <c r="H108" s="54"/>
      <c r="I108" s="54"/>
      <c r="J108" s="54"/>
      <c r="K108" s="54"/>
      <c r="L108" s="54"/>
      <c r="M108" s="54"/>
      <c r="N108" s="54"/>
    </row>
    <row r="109" ht="14.25" customHeight="1">
      <c r="A109" s="54"/>
      <c r="B109" s="54"/>
      <c r="C109" s="54"/>
      <c r="D109" s="54"/>
      <c r="E109" s="54"/>
      <c r="F109" s="54"/>
      <c r="G109" s="54"/>
      <c r="H109" s="54"/>
      <c r="I109" s="54"/>
      <c r="J109" s="54"/>
      <c r="K109" s="54"/>
      <c r="L109" s="54"/>
      <c r="M109" s="54"/>
      <c r="N109" s="54"/>
    </row>
    <row r="110" ht="14.25" customHeight="1">
      <c r="A110" s="54"/>
      <c r="B110" s="54"/>
      <c r="C110" s="54"/>
      <c r="D110" s="54"/>
      <c r="E110" s="54"/>
      <c r="F110" s="54"/>
      <c r="G110" s="54"/>
      <c r="H110" s="54"/>
      <c r="I110" s="54"/>
      <c r="J110" s="54"/>
      <c r="K110" s="54"/>
      <c r="L110" s="54"/>
      <c r="M110" s="54"/>
      <c r="N110" s="54"/>
    </row>
    <row r="111" ht="14.25" customHeight="1">
      <c r="A111" s="54"/>
      <c r="B111" s="54"/>
      <c r="C111" s="54"/>
      <c r="D111" s="54"/>
      <c r="E111" s="54"/>
      <c r="F111" s="54"/>
      <c r="G111" s="54"/>
      <c r="H111" s="54"/>
      <c r="I111" s="54"/>
      <c r="J111" s="54"/>
      <c r="K111" s="54"/>
      <c r="L111" s="54"/>
      <c r="M111" s="54"/>
      <c r="N111" s="54"/>
    </row>
    <row r="112" ht="14.25" customHeight="1">
      <c r="A112" s="54"/>
      <c r="B112" s="54"/>
      <c r="C112" s="54"/>
      <c r="D112" s="54"/>
      <c r="E112" s="54"/>
      <c r="F112" s="54"/>
      <c r="G112" s="54"/>
      <c r="H112" s="54"/>
      <c r="I112" s="54"/>
      <c r="J112" s="54"/>
      <c r="K112" s="54"/>
      <c r="L112" s="54"/>
      <c r="M112" s="54"/>
      <c r="N112" s="54"/>
    </row>
    <row r="113" ht="14.25" customHeight="1">
      <c r="A113" s="54"/>
      <c r="B113" s="54"/>
      <c r="C113" s="54"/>
      <c r="D113" s="54"/>
      <c r="E113" s="54"/>
      <c r="F113" s="54"/>
      <c r="G113" s="54"/>
      <c r="H113" s="54"/>
      <c r="I113" s="54"/>
      <c r="J113" s="54"/>
      <c r="K113" s="54"/>
      <c r="L113" s="54"/>
      <c r="M113" s="54"/>
      <c r="N113" s="54"/>
    </row>
    <row r="114" ht="14.25" customHeight="1">
      <c r="A114" s="54"/>
      <c r="B114" s="54"/>
      <c r="C114" s="54"/>
      <c r="D114" s="54"/>
      <c r="E114" s="54"/>
      <c r="F114" s="54"/>
      <c r="G114" s="54"/>
      <c r="H114" s="54"/>
      <c r="I114" s="54"/>
      <c r="J114" s="54"/>
      <c r="K114" s="54"/>
      <c r="L114" s="54"/>
      <c r="M114" s="54"/>
      <c r="N114" s="54"/>
    </row>
    <row r="115" ht="14.25" customHeight="1">
      <c r="A115" s="54"/>
      <c r="B115" s="54"/>
      <c r="C115" s="54"/>
      <c r="D115" s="54"/>
      <c r="E115" s="54"/>
      <c r="F115" s="54"/>
      <c r="G115" s="54"/>
      <c r="H115" s="54"/>
      <c r="I115" s="54"/>
      <c r="J115" s="54"/>
      <c r="K115" s="54"/>
      <c r="L115" s="54"/>
      <c r="M115" s="54"/>
      <c r="N115" s="54"/>
    </row>
    <row r="116" ht="14.25" customHeight="1">
      <c r="A116" s="54"/>
      <c r="B116" s="54"/>
      <c r="C116" s="54"/>
      <c r="D116" s="54"/>
      <c r="E116" s="54"/>
      <c r="F116" s="54"/>
      <c r="G116" s="54"/>
      <c r="H116" s="54"/>
      <c r="I116" s="54"/>
      <c r="J116" s="54"/>
      <c r="K116" s="54"/>
      <c r="L116" s="54"/>
      <c r="M116" s="54"/>
      <c r="N116" s="54"/>
    </row>
    <row r="117" ht="14.25" customHeight="1">
      <c r="A117" s="54"/>
      <c r="B117" s="54"/>
      <c r="C117" s="54"/>
      <c r="D117" s="54"/>
      <c r="E117" s="54"/>
      <c r="F117" s="54"/>
      <c r="G117" s="54"/>
      <c r="H117" s="54"/>
      <c r="I117" s="54"/>
      <c r="J117" s="54"/>
      <c r="K117" s="54"/>
      <c r="L117" s="54"/>
      <c r="M117" s="54"/>
      <c r="N117" s="54"/>
    </row>
    <row r="118" ht="14.25" customHeight="1">
      <c r="A118" s="54"/>
      <c r="B118" s="54"/>
      <c r="C118" s="54"/>
      <c r="D118" s="54"/>
      <c r="E118" s="54"/>
      <c r="F118" s="54"/>
      <c r="G118" s="54"/>
      <c r="H118" s="54"/>
      <c r="I118" s="54"/>
      <c r="J118" s="54"/>
      <c r="K118" s="54"/>
      <c r="L118" s="54"/>
      <c r="M118" s="54"/>
      <c r="N118" s="54"/>
    </row>
    <row r="119" ht="14.25" customHeight="1">
      <c r="A119" s="54"/>
      <c r="B119" s="54"/>
      <c r="C119" s="54"/>
      <c r="D119" s="54"/>
      <c r="E119" s="54"/>
      <c r="F119" s="54"/>
      <c r="G119" s="54"/>
      <c r="H119" s="54"/>
      <c r="I119" s="54"/>
      <c r="J119" s="54"/>
      <c r="K119" s="54"/>
      <c r="L119" s="54"/>
      <c r="M119" s="54"/>
      <c r="N119" s="54"/>
    </row>
    <row r="120" ht="14.25" customHeight="1">
      <c r="A120" s="54"/>
      <c r="B120" s="54"/>
      <c r="C120" s="54"/>
      <c r="D120" s="54"/>
      <c r="E120" s="54"/>
      <c r="F120" s="54"/>
      <c r="G120" s="54"/>
      <c r="H120" s="54"/>
      <c r="I120" s="54"/>
      <c r="J120" s="54"/>
      <c r="K120" s="54"/>
      <c r="L120" s="54"/>
      <c r="M120" s="54"/>
      <c r="N120" s="54"/>
    </row>
    <row r="121" ht="14.25" customHeight="1">
      <c r="A121" s="54"/>
      <c r="B121" s="54"/>
      <c r="C121" s="54"/>
      <c r="D121" s="54"/>
      <c r="E121" s="54"/>
      <c r="F121" s="54"/>
      <c r="G121" s="54"/>
      <c r="H121" s="54"/>
      <c r="I121" s="54"/>
      <c r="J121" s="54"/>
      <c r="K121" s="54"/>
      <c r="L121" s="54"/>
      <c r="M121" s="54"/>
      <c r="N121" s="54"/>
    </row>
    <row r="122" ht="14.25" customHeight="1">
      <c r="A122" s="54"/>
      <c r="B122" s="54"/>
      <c r="C122" s="54"/>
      <c r="D122" s="54"/>
      <c r="E122" s="54"/>
      <c r="F122" s="54"/>
      <c r="G122" s="54"/>
      <c r="H122" s="54"/>
      <c r="I122" s="54"/>
      <c r="J122" s="54"/>
      <c r="K122" s="54"/>
      <c r="L122" s="54"/>
      <c r="M122" s="54"/>
      <c r="N122" s="54"/>
    </row>
    <row r="123" ht="14.25" customHeight="1">
      <c r="A123" s="54"/>
      <c r="B123" s="54"/>
      <c r="C123" s="54"/>
      <c r="D123" s="54"/>
      <c r="E123" s="54"/>
      <c r="F123" s="54"/>
      <c r="G123" s="54"/>
      <c r="H123" s="54"/>
      <c r="I123" s="54"/>
      <c r="J123" s="54"/>
      <c r="K123" s="54"/>
      <c r="L123" s="54"/>
      <c r="M123" s="54"/>
      <c r="N123" s="54"/>
    </row>
    <row r="124" ht="14.25" customHeight="1">
      <c r="A124" s="54"/>
      <c r="B124" s="54"/>
      <c r="C124" s="54"/>
      <c r="D124" s="54"/>
      <c r="E124" s="54"/>
      <c r="F124" s="54"/>
      <c r="G124" s="54"/>
      <c r="H124" s="54"/>
      <c r="I124" s="54"/>
      <c r="J124" s="54"/>
      <c r="K124" s="54"/>
      <c r="L124" s="54"/>
      <c r="M124" s="54"/>
      <c r="N124" s="54"/>
    </row>
    <row r="125" ht="14.25" customHeight="1">
      <c r="A125" s="54"/>
      <c r="B125" s="54"/>
      <c r="C125" s="54"/>
      <c r="D125" s="54"/>
      <c r="E125" s="54"/>
      <c r="F125" s="54"/>
      <c r="G125" s="54"/>
      <c r="H125" s="54"/>
      <c r="I125" s="54"/>
      <c r="J125" s="54"/>
      <c r="K125" s="54"/>
      <c r="L125" s="54"/>
      <c r="M125" s="54"/>
      <c r="N125" s="54"/>
    </row>
    <row r="126" ht="14.25" customHeight="1">
      <c r="A126" s="54"/>
      <c r="B126" s="54"/>
      <c r="C126" s="54"/>
      <c r="D126" s="54"/>
      <c r="E126" s="54"/>
      <c r="F126" s="54"/>
      <c r="G126" s="54"/>
      <c r="H126" s="54"/>
      <c r="I126" s="54"/>
      <c r="J126" s="54"/>
      <c r="K126" s="54"/>
      <c r="L126" s="54"/>
      <c r="M126" s="54"/>
      <c r="N126" s="54"/>
    </row>
    <row r="127" ht="14.25" customHeight="1">
      <c r="A127" s="54"/>
      <c r="B127" s="54"/>
      <c r="C127" s="54"/>
      <c r="D127" s="54"/>
      <c r="E127" s="54"/>
      <c r="F127" s="54"/>
      <c r="G127" s="54"/>
      <c r="H127" s="54"/>
      <c r="I127" s="54"/>
      <c r="J127" s="54"/>
      <c r="K127" s="54"/>
      <c r="L127" s="54"/>
      <c r="M127" s="54"/>
      <c r="N127" s="54"/>
    </row>
    <row r="128" ht="14.25" customHeight="1">
      <c r="A128" s="54"/>
      <c r="B128" s="54"/>
      <c r="C128" s="54"/>
      <c r="D128" s="54"/>
      <c r="E128" s="54"/>
      <c r="F128" s="54"/>
      <c r="G128" s="54"/>
      <c r="H128" s="54"/>
      <c r="I128" s="54"/>
      <c r="J128" s="54"/>
      <c r="K128" s="54"/>
      <c r="L128" s="54"/>
      <c r="M128" s="54"/>
      <c r="N128" s="54"/>
    </row>
    <row r="129" ht="14.25" customHeight="1">
      <c r="A129" s="54"/>
      <c r="B129" s="54"/>
      <c r="C129" s="54"/>
      <c r="D129" s="54"/>
      <c r="E129" s="54"/>
      <c r="F129" s="54"/>
      <c r="G129" s="54"/>
      <c r="H129" s="54"/>
      <c r="I129" s="54"/>
      <c r="J129" s="54"/>
      <c r="K129" s="54"/>
      <c r="L129" s="54"/>
      <c r="M129" s="54"/>
      <c r="N129" s="54"/>
    </row>
    <row r="130" ht="14.25" customHeight="1">
      <c r="A130" s="54"/>
      <c r="B130" s="54"/>
      <c r="C130" s="54"/>
      <c r="D130" s="54"/>
      <c r="E130" s="54"/>
      <c r="F130" s="54"/>
      <c r="G130" s="54"/>
      <c r="H130" s="54"/>
      <c r="I130" s="54"/>
      <c r="J130" s="54"/>
      <c r="K130" s="54"/>
      <c r="L130" s="54"/>
      <c r="M130" s="54"/>
      <c r="N130" s="54"/>
    </row>
    <row r="131" ht="14.25" customHeight="1">
      <c r="A131" s="54"/>
      <c r="B131" s="54"/>
      <c r="C131" s="54"/>
      <c r="D131" s="54"/>
      <c r="E131" s="54"/>
      <c r="F131" s="54"/>
      <c r="G131" s="54"/>
      <c r="H131" s="54"/>
      <c r="I131" s="54"/>
      <c r="J131" s="54"/>
      <c r="K131" s="54"/>
      <c r="L131" s="54"/>
      <c r="M131" s="54"/>
      <c r="N131" s="54"/>
    </row>
    <row r="132" ht="14.25" customHeight="1">
      <c r="A132" s="54"/>
      <c r="B132" s="54"/>
      <c r="C132" s="54"/>
      <c r="D132" s="54"/>
      <c r="E132" s="54"/>
      <c r="F132" s="54"/>
      <c r="G132" s="54"/>
      <c r="H132" s="54"/>
      <c r="I132" s="54"/>
      <c r="J132" s="54"/>
      <c r="K132" s="54"/>
      <c r="L132" s="54"/>
      <c r="M132" s="54"/>
      <c r="N132" s="54"/>
    </row>
    <row r="133" ht="14.25" customHeight="1">
      <c r="A133" s="54"/>
      <c r="B133" s="54"/>
      <c r="C133" s="54"/>
      <c r="D133" s="54"/>
      <c r="E133" s="54"/>
      <c r="F133" s="54"/>
      <c r="G133" s="54"/>
      <c r="H133" s="54"/>
      <c r="I133" s="54"/>
      <c r="J133" s="54"/>
      <c r="K133" s="54"/>
      <c r="L133" s="54"/>
      <c r="M133" s="54"/>
      <c r="N133" s="54"/>
    </row>
    <row r="134" ht="14.25" customHeight="1">
      <c r="A134" s="54"/>
      <c r="B134" s="54"/>
      <c r="C134" s="54"/>
      <c r="D134" s="54"/>
      <c r="E134" s="54"/>
      <c r="F134" s="54"/>
      <c r="G134" s="54"/>
      <c r="H134" s="54"/>
      <c r="I134" s="54"/>
      <c r="J134" s="54"/>
      <c r="K134" s="54"/>
      <c r="L134" s="54"/>
      <c r="M134" s="54"/>
      <c r="N134" s="54"/>
    </row>
    <row r="135" ht="14.25" customHeight="1">
      <c r="A135" s="54"/>
      <c r="B135" s="54"/>
      <c r="C135" s="54"/>
      <c r="D135" s="54"/>
      <c r="E135" s="54"/>
      <c r="F135" s="54"/>
      <c r="G135" s="54"/>
      <c r="H135" s="54"/>
      <c r="I135" s="54"/>
      <c r="J135" s="54"/>
      <c r="K135" s="54"/>
      <c r="L135" s="54"/>
      <c r="M135" s="54"/>
      <c r="N135" s="54"/>
    </row>
    <row r="136" ht="14.25" customHeight="1">
      <c r="A136" s="54"/>
      <c r="B136" s="54"/>
      <c r="C136" s="54"/>
      <c r="D136" s="54"/>
      <c r="E136" s="54"/>
      <c r="F136" s="54"/>
      <c r="G136" s="54"/>
      <c r="H136" s="54"/>
      <c r="I136" s="54"/>
      <c r="J136" s="54"/>
      <c r="K136" s="54"/>
      <c r="L136" s="54"/>
      <c r="M136" s="54"/>
      <c r="N136" s="54"/>
    </row>
    <row r="137" ht="14.25" customHeight="1">
      <c r="A137" s="54"/>
      <c r="B137" s="54"/>
      <c r="C137" s="54"/>
      <c r="D137" s="54"/>
      <c r="E137" s="54"/>
      <c r="F137" s="54"/>
      <c r="G137" s="54"/>
      <c r="H137" s="54"/>
      <c r="I137" s="54"/>
      <c r="J137" s="54"/>
      <c r="K137" s="54"/>
      <c r="L137" s="54"/>
      <c r="M137" s="54"/>
      <c r="N137" s="54"/>
    </row>
    <row r="138" ht="14.25" customHeight="1">
      <c r="A138" s="54"/>
      <c r="B138" s="54"/>
      <c r="C138" s="54"/>
      <c r="D138" s="54"/>
      <c r="E138" s="54"/>
      <c r="F138" s="54"/>
      <c r="G138" s="54"/>
      <c r="H138" s="54"/>
      <c r="I138" s="54"/>
      <c r="J138" s="54"/>
      <c r="K138" s="54"/>
      <c r="L138" s="54"/>
      <c r="M138" s="54"/>
      <c r="N138" s="54"/>
    </row>
    <row r="139" ht="14.25" customHeight="1">
      <c r="A139" s="54"/>
      <c r="B139" s="54"/>
      <c r="C139" s="54"/>
      <c r="D139" s="54"/>
      <c r="E139" s="54"/>
      <c r="F139" s="54"/>
      <c r="G139" s="54"/>
      <c r="H139" s="54"/>
      <c r="I139" s="54"/>
      <c r="J139" s="54"/>
      <c r="K139" s="54"/>
      <c r="L139" s="54"/>
      <c r="M139" s="54"/>
      <c r="N139" s="54"/>
    </row>
    <row r="140" ht="14.25" customHeight="1">
      <c r="A140" s="54"/>
      <c r="B140" s="54"/>
      <c r="C140" s="54"/>
      <c r="D140" s="54"/>
      <c r="E140" s="54"/>
      <c r="F140" s="54"/>
      <c r="G140" s="54"/>
      <c r="H140" s="54"/>
      <c r="I140" s="54"/>
      <c r="J140" s="54"/>
      <c r="K140" s="54"/>
      <c r="L140" s="54"/>
      <c r="M140" s="54"/>
      <c r="N140" s="54"/>
    </row>
    <row r="141" ht="14.25" customHeight="1">
      <c r="A141" s="54"/>
      <c r="B141" s="54"/>
      <c r="C141" s="54"/>
      <c r="D141" s="54"/>
      <c r="E141" s="54"/>
      <c r="F141" s="54"/>
      <c r="G141" s="54"/>
      <c r="H141" s="54"/>
      <c r="I141" s="54"/>
      <c r="J141" s="54"/>
      <c r="K141" s="54"/>
      <c r="L141" s="54"/>
      <c r="M141" s="54"/>
      <c r="N141" s="54"/>
    </row>
    <row r="142" ht="14.25" customHeight="1">
      <c r="A142" s="54"/>
      <c r="B142" s="54"/>
      <c r="C142" s="54"/>
      <c r="D142" s="54"/>
      <c r="E142" s="54"/>
      <c r="F142" s="54"/>
      <c r="G142" s="54"/>
      <c r="H142" s="54"/>
      <c r="I142" s="54"/>
      <c r="J142" s="54"/>
      <c r="K142" s="54"/>
      <c r="L142" s="54"/>
      <c r="M142" s="54"/>
      <c r="N142" s="54"/>
    </row>
    <row r="143" ht="14.25" customHeight="1">
      <c r="A143" s="54"/>
      <c r="B143" s="54"/>
      <c r="C143" s="54"/>
      <c r="D143" s="54"/>
      <c r="E143" s="54"/>
      <c r="F143" s="54"/>
      <c r="G143" s="54"/>
      <c r="H143" s="54"/>
      <c r="I143" s="54"/>
      <c r="J143" s="54"/>
      <c r="K143" s="54"/>
      <c r="L143" s="54"/>
      <c r="M143" s="54"/>
      <c r="N143" s="54"/>
    </row>
    <row r="144" ht="14.25" customHeight="1">
      <c r="A144" s="54"/>
      <c r="B144" s="54"/>
      <c r="C144" s="54"/>
      <c r="D144" s="54"/>
      <c r="E144" s="54"/>
      <c r="F144" s="54"/>
      <c r="G144" s="54"/>
      <c r="H144" s="54"/>
      <c r="I144" s="54"/>
      <c r="J144" s="54"/>
      <c r="K144" s="54"/>
      <c r="L144" s="54"/>
      <c r="M144" s="54"/>
      <c r="N144" s="54"/>
    </row>
    <row r="145" ht="14.25" customHeight="1">
      <c r="A145" s="54"/>
      <c r="B145" s="54"/>
      <c r="C145" s="54"/>
      <c r="D145" s="54"/>
      <c r="E145" s="54"/>
      <c r="F145" s="54"/>
      <c r="G145" s="54"/>
      <c r="H145" s="54"/>
      <c r="I145" s="54"/>
      <c r="J145" s="54"/>
      <c r="K145" s="54"/>
      <c r="L145" s="54"/>
      <c r="M145" s="54"/>
      <c r="N145" s="54"/>
    </row>
    <row r="146" ht="14.25" customHeight="1">
      <c r="A146" s="54"/>
      <c r="B146" s="54"/>
      <c r="C146" s="54"/>
      <c r="D146" s="54"/>
      <c r="E146" s="54"/>
      <c r="F146" s="54"/>
      <c r="G146" s="54"/>
      <c r="H146" s="54"/>
      <c r="I146" s="54"/>
      <c r="J146" s="54"/>
      <c r="K146" s="54"/>
      <c r="L146" s="54"/>
      <c r="M146" s="54"/>
      <c r="N146" s="54"/>
    </row>
    <row r="147" ht="14.25" customHeight="1">
      <c r="A147" s="54"/>
      <c r="B147" s="54"/>
      <c r="C147" s="54"/>
      <c r="D147" s="54"/>
      <c r="E147" s="54"/>
      <c r="F147" s="54"/>
      <c r="G147" s="54"/>
      <c r="H147" s="54"/>
      <c r="I147" s="54"/>
      <c r="J147" s="54"/>
      <c r="K147" s="54"/>
      <c r="L147" s="54"/>
      <c r="M147" s="54"/>
      <c r="N147" s="54"/>
    </row>
    <row r="148" ht="14.25" customHeight="1">
      <c r="A148" s="54"/>
      <c r="B148" s="54"/>
      <c r="C148" s="54"/>
      <c r="D148" s="54"/>
      <c r="E148" s="54"/>
      <c r="F148" s="54"/>
      <c r="G148" s="54"/>
      <c r="H148" s="54"/>
      <c r="I148" s="54"/>
      <c r="J148" s="54"/>
      <c r="K148" s="54"/>
      <c r="L148" s="54"/>
      <c r="M148" s="54"/>
      <c r="N148" s="54"/>
    </row>
    <row r="149" ht="14.25" customHeight="1">
      <c r="A149" s="54"/>
      <c r="B149" s="54"/>
      <c r="C149" s="54"/>
      <c r="D149" s="54"/>
      <c r="E149" s="54"/>
      <c r="F149" s="54"/>
      <c r="G149" s="54"/>
      <c r="H149" s="54"/>
      <c r="I149" s="54"/>
      <c r="J149" s="54"/>
      <c r="K149" s="54"/>
      <c r="L149" s="54"/>
      <c r="M149" s="54"/>
      <c r="N149" s="54"/>
    </row>
    <row r="150" ht="14.25" customHeight="1">
      <c r="A150" s="54"/>
      <c r="B150" s="54"/>
      <c r="C150" s="54"/>
      <c r="D150" s="54"/>
      <c r="E150" s="54"/>
      <c r="F150" s="54"/>
      <c r="G150" s="54"/>
      <c r="H150" s="54"/>
      <c r="I150" s="54"/>
      <c r="J150" s="54"/>
      <c r="K150" s="54"/>
      <c r="L150" s="54"/>
      <c r="M150" s="54"/>
      <c r="N150" s="54"/>
    </row>
    <row r="151" ht="14.25" customHeight="1">
      <c r="A151" s="54"/>
      <c r="B151" s="54"/>
      <c r="C151" s="54"/>
      <c r="D151" s="54"/>
      <c r="E151" s="54"/>
      <c r="F151" s="54"/>
      <c r="G151" s="54"/>
      <c r="H151" s="54"/>
      <c r="I151" s="54"/>
      <c r="J151" s="54"/>
      <c r="K151" s="54"/>
      <c r="L151" s="54"/>
      <c r="M151" s="54"/>
      <c r="N151" s="54"/>
    </row>
    <row r="152" ht="14.25" customHeight="1">
      <c r="A152" s="54"/>
      <c r="B152" s="54"/>
      <c r="C152" s="54"/>
      <c r="D152" s="54"/>
      <c r="E152" s="54"/>
      <c r="F152" s="54"/>
      <c r="G152" s="54"/>
      <c r="H152" s="54"/>
      <c r="I152" s="54"/>
      <c r="J152" s="54"/>
      <c r="K152" s="54"/>
      <c r="L152" s="54"/>
      <c r="M152" s="54"/>
      <c r="N152" s="54"/>
    </row>
    <row r="153" ht="14.25" customHeight="1">
      <c r="A153" s="54"/>
      <c r="B153" s="54"/>
      <c r="C153" s="54"/>
      <c r="D153" s="54"/>
      <c r="E153" s="54"/>
      <c r="F153" s="54"/>
      <c r="G153" s="54"/>
      <c r="H153" s="54"/>
      <c r="I153" s="54"/>
      <c r="J153" s="54"/>
      <c r="K153" s="54"/>
      <c r="L153" s="54"/>
      <c r="M153" s="54"/>
      <c r="N153" s="54"/>
    </row>
    <row r="154" ht="14.25" customHeight="1">
      <c r="A154" s="54"/>
      <c r="B154" s="54"/>
      <c r="C154" s="54"/>
      <c r="D154" s="54"/>
      <c r="E154" s="54"/>
      <c r="F154" s="54"/>
      <c r="G154" s="54"/>
      <c r="H154" s="54"/>
      <c r="I154" s="54"/>
      <c r="J154" s="54"/>
      <c r="K154" s="54"/>
      <c r="L154" s="54"/>
      <c r="M154" s="54"/>
      <c r="N154" s="54"/>
    </row>
    <row r="155" ht="14.25" customHeight="1">
      <c r="A155" s="54"/>
      <c r="B155" s="54"/>
      <c r="C155" s="54"/>
      <c r="D155" s="54"/>
      <c r="E155" s="54"/>
      <c r="F155" s="54"/>
      <c r="G155" s="54"/>
      <c r="H155" s="54"/>
      <c r="I155" s="54"/>
      <c r="J155" s="54"/>
      <c r="K155" s="54"/>
      <c r="L155" s="54"/>
      <c r="M155" s="54"/>
      <c r="N155" s="54"/>
    </row>
    <row r="156" ht="14.25" customHeight="1">
      <c r="A156" s="54"/>
      <c r="B156" s="54"/>
      <c r="C156" s="54"/>
      <c r="D156" s="54"/>
      <c r="E156" s="54"/>
      <c r="F156" s="54"/>
      <c r="G156" s="54"/>
      <c r="H156" s="54"/>
      <c r="I156" s="54"/>
      <c r="J156" s="54"/>
      <c r="K156" s="54"/>
      <c r="L156" s="54"/>
      <c r="M156" s="54"/>
      <c r="N156" s="54"/>
    </row>
    <row r="157" ht="14.25" customHeight="1">
      <c r="A157" s="54"/>
      <c r="B157" s="54"/>
      <c r="C157" s="54"/>
      <c r="D157" s="54"/>
      <c r="E157" s="54"/>
      <c r="F157" s="54"/>
      <c r="G157" s="54"/>
      <c r="H157" s="54"/>
      <c r="I157" s="54"/>
      <c r="J157" s="54"/>
      <c r="K157" s="54"/>
      <c r="L157" s="54"/>
      <c r="M157" s="54"/>
      <c r="N157" s="54"/>
    </row>
    <row r="158" ht="14.25" customHeight="1">
      <c r="A158" s="54"/>
      <c r="B158" s="54"/>
      <c r="C158" s="54"/>
      <c r="D158" s="54"/>
      <c r="E158" s="54"/>
      <c r="F158" s="54"/>
      <c r="G158" s="54"/>
      <c r="H158" s="54"/>
      <c r="I158" s="54"/>
      <c r="J158" s="54"/>
      <c r="K158" s="54"/>
      <c r="L158" s="54"/>
      <c r="M158" s="54"/>
      <c r="N158" s="54"/>
    </row>
    <row r="159" ht="14.25" customHeight="1">
      <c r="A159" s="54"/>
      <c r="B159" s="54"/>
      <c r="C159" s="54"/>
      <c r="D159" s="54"/>
      <c r="E159" s="54"/>
      <c r="F159" s="54"/>
      <c r="G159" s="54"/>
      <c r="H159" s="54"/>
      <c r="I159" s="54"/>
      <c r="J159" s="54"/>
      <c r="K159" s="54"/>
      <c r="L159" s="54"/>
      <c r="M159" s="54"/>
      <c r="N159" s="54"/>
    </row>
    <row r="160" ht="14.25" customHeight="1">
      <c r="A160" s="54"/>
      <c r="B160" s="54"/>
      <c r="C160" s="54"/>
      <c r="D160" s="54"/>
      <c r="E160" s="54"/>
      <c r="F160" s="54"/>
      <c r="G160" s="54"/>
      <c r="H160" s="54"/>
      <c r="I160" s="54"/>
      <c r="J160" s="54"/>
      <c r="K160" s="54"/>
      <c r="L160" s="54"/>
      <c r="M160" s="54"/>
      <c r="N160" s="54"/>
    </row>
    <row r="161" ht="14.25" customHeight="1">
      <c r="A161" s="54"/>
      <c r="B161" s="54"/>
      <c r="C161" s="54"/>
      <c r="D161" s="54"/>
      <c r="E161" s="54"/>
      <c r="F161" s="54"/>
      <c r="G161" s="54"/>
      <c r="H161" s="54"/>
      <c r="I161" s="54"/>
      <c r="J161" s="54"/>
      <c r="K161" s="54"/>
      <c r="L161" s="54"/>
      <c r="M161" s="54"/>
      <c r="N161" s="54"/>
    </row>
    <row r="162" ht="14.25" customHeight="1">
      <c r="A162" s="54"/>
      <c r="B162" s="54"/>
      <c r="C162" s="54"/>
      <c r="D162" s="54"/>
      <c r="E162" s="54"/>
      <c r="F162" s="54"/>
      <c r="G162" s="54"/>
      <c r="H162" s="54"/>
      <c r="I162" s="54"/>
      <c r="J162" s="54"/>
      <c r="K162" s="54"/>
      <c r="L162" s="54"/>
      <c r="M162" s="54"/>
      <c r="N162" s="54"/>
    </row>
    <row r="163" ht="14.25" customHeight="1">
      <c r="A163" s="54"/>
      <c r="B163" s="54"/>
      <c r="C163" s="54"/>
      <c r="D163" s="54"/>
      <c r="E163" s="54"/>
      <c r="F163" s="54"/>
      <c r="G163" s="54"/>
      <c r="H163" s="54"/>
      <c r="I163" s="54"/>
      <c r="J163" s="54"/>
      <c r="K163" s="54"/>
      <c r="L163" s="54"/>
      <c r="M163" s="54"/>
      <c r="N163" s="54"/>
    </row>
    <row r="164" ht="14.25" customHeight="1">
      <c r="A164" s="54"/>
      <c r="B164" s="54"/>
      <c r="C164" s="54"/>
      <c r="D164" s="54"/>
      <c r="E164" s="54"/>
      <c r="F164" s="54"/>
      <c r="G164" s="54"/>
      <c r="H164" s="54"/>
      <c r="I164" s="54"/>
      <c r="J164" s="54"/>
      <c r="K164" s="54"/>
      <c r="L164" s="54"/>
      <c r="M164" s="54"/>
      <c r="N164" s="54"/>
    </row>
    <row r="165" ht="14.25" customHeight="1">
      <c r="A165" s="54"/>
      <c r="B165" s="54"/>
      <c r="C165" s="54"/>
      <c r="D165" s="54"/>
      <c r="E165" s="54"/>
      <c r="F165" s="54"/>
      <c r="G165" s="54"/>
      <c r="H165" s="54"/>
      <c r="I165" s="54"/>
      <c r="J165" s="54"/>
      <c r="K165" s="54"/>
      <c r="L165" s="54"/>
      <c r="M165" s="54"/>
      <c r="N165" s="54"/>
    </row>
    <row r="166" ht="14.25" customHeight="1">
      <c r="A166" s="54"/>
      <c r="B166" s="54"/>
      <c r="C166" s="54"/>
      <c r="D166" s="54"/>
      <c r="E166" s="54"/>
      <c r="F166" s="54"/>
      <c r="G166" s="54"/>
      <c r="H166" s="54"/>
      <c r="I166" s="54"/>
      <c r="J166" s="54"/>
      <c r="K166" s="54"/>
      <c r="L166" s="54"/>
      <c r="M166" s="54"/>
      <c r="N166" s="54"/>
    </row>
    <row r="167" ht="14.25" customHeight="1">
      <c r="A167" s="54"/>
      <c r="B167" s="54"/>
      <c r="C167" s="54"/>
      <c r="D167" s="54"/>
      <c r="E167" s="54"/>
      <c r="F167" s="54"/>
      <c r="G167" s="54"/>
      <c r="H167" s="54"/>
      <c r="I167" s="54"/>
      <c r="J167" s="54"/>
      <c r="K167" s="54"/>
      <c r="L167" s="54"/>
      <c r="M167" s="54"/>
      <c r="N167" s="54"/>
    </row>
    <row r="168" ht="14.25" customHeight="1">
      <c r="A168" s="54"/>
      <c r="B168" s="54"/>
      <c r="C168" s="54"/>
      <c r="D168" s="54"/>
      <c r="E168" s="54"/>
      <c r="F168" s="54"/>
      <c r="G168" s="54"/>
      <c r="H168" s="54"/>
      <c r="I168" s="54"/>
      <c r="J168" s="54"/>
      <c r="K168" s="54"/>
      <c r="L168" s="54"/>
      <c r="M168" s="54"/>
      <c r="N168" s="54"/>
    </row>
    <row r="169" ht="14.25" customHeight="1">
      <c r="A169" s="54"/>
      <c r="B169" s="54"/>
      <c r="C169" s="54"/>
      <c r="D169" s="54"/>
      <c r="E169" s="54"/>
      <c r="F169" s="54"/>
      <c r="G169" s="54"/>
      <c r="H169" s="54"/>
      <c r="I169" s="54"/>
      <c r="J169" s="54"/>
      <c r="K169" s="54"/>
      <c r="L169" s="54"/>
      <c r="M169" s="54"/>
      <c r="N169" s="54"/>
    </row>
    <row r="170" ht="14.25" customHeight="1">
      <c r="A170" s="54"/>
      <c r="B170" s="54"/>
      <c r="C170" s="54"/>
      <c r="D170" s="54"/>
      <c r="E170" s="54"/>
      <c r="F170" s="54"/>
      <c r="G170" s="54"/>
      <c r="H170" s="54"/>
      <c r="I170" s="54"/>
      <c r="J170" s="54"/>
      <c r="K170" s="54"/>
      <c r="L170" s="54"/>
      <c r="M170" s="54"/>
      <c r="N170" s="54"/>
    </row>
    <row r="171" ht="14.25" customHeight="1">
      <c r="A171" s="54"/>
      <c r="B171" s="54"/>
      <c r="C171" s="54"/>
      <c r="D171" s="54"/>
      <c r="E171" s="54"/>
      <c r="F171" s="54"/>
      <c r="G171" s="54"/>
      <c r="H171" s="54"/>
      <c r="I171" s="54"/>
      <c r="J171" s="54"/>
      <c r="K171" s="54"/>
      <c r="L171" s="54"/>
      <c r="M171" s="54"/>
      <c r="N171" s="54"/>
    </row>
    <row r="172" ht="14.25" customHeight="1">
      <c r="A172" s="54"/>
      <c r="B172" s="54"/>
      <c r="C172" s="54"/>
      <c r="D172" s="54"/>
      <c r="E172" s="54"/>
      <c r="F172" s="54"/>
      <c r="G172" s="54"/>
      <c r="H172" s="54"/>
      <c r="I172" s="54"/>
      <c r="J172" s="54"/>
      <c r="K172" s="54"/>
      <c r="L172" s="54"/>
      <c r="M172" s="54"/>
      <c r="N172" s="54"/>
    </row>
    <row r="173" ht="14.25" customHeight="1">
      <c r="A173" s="54"/>
      <c r="B173" s="54"/>
      <c r="C173" s="54"/>
      <c r="D173" s="54"/>
      <c r="E173" s="54"/>
      <c r="F173" s="54"/>
      <c r="G173" s="54"/>
      <c r="H173" s="54"/>
      <c r="I173" s="54"/>
      <c r="J173" s="54"/>
      <c r="K173" s="54"/>
      <c r="L173" s="54"/>
      <c r="M173" s="54"/>
      <c r="N173" s="54"/>
    </row>
    <row r="174" ht="14.25" customHeight="1">
      <c r="A174" s="54"/>
      <c r="B174" s="54"/>
      <c r="C174" s="54"/>
      <c r="D174" s="54"/>
      <c r="E174" s="54"/>
      <c r="F174" s="54"/>
      <c r="G174" s="54"/>
      <c r="H174" s="54"/>
      <c r="I174" s="54"/>
      <c r="J174" s="54"/>
      <c r="K174" s="54"/>
      <c r="L174" s="54"/>
      <c r="M174" s="54"/>
      <c r="N174" s="54"/>
    </row>
    <row r="175" ht="14.25" customHeight="1">
      <c r="A175" s="54"/>
      <c r="B175" s="54"/>
      <c r="C175" s="54"/>
      <c r="D175" s="54"/>
      <c r="E175" s="54"/>
      <c r="F175" s="54"/>
      <c r="G175" s="54"/>
      <c r="H175" s="54"/>
      <c r="I175" s="54"/>
      <c r="J175" s="54"/>
      <c r="K175" s="54"/>
      <c r="L175" s="54"/>
      <c r="M175" s="54"/>
      <c r="N175" s="54"/>
    </row>
    <row r="176" ht="14.25" customHeight="1">
      <c r="A176" s="54"/>
      <c r="B176" s="54"/>
      <c r="C176" s="54"/>
      <c r="D176" s="54"/>
      <c r="E176" s="54"/>
      <c r="F176" s="54"/>
      <c r="G176" s="54"/>
      <c r="H176" s="54"/>
      <c r="I176" s="54"/>
      <c r="J176" s="54"/>
      <c r="K176" s="54"/>
      <c r="L176" s="54"/>
      <c r="M176" s="54"/>
      <c r="N176" s="54"/>
    </row>
    <row r="177" ht="14.25" customHeight="1">
      <c r="A177" s="54"/>
      <c r="B177" s="54"/>
      <c r="C177" s="54"/>
      <c r="D177" s="54"/>
      <c r="E177" s="54"/>
      <c r="F177" s="54"/>
      <c r="G177" s="54"/>
      <c r="H177" s="54"/>
      <c r="I177" s="54"/>
      <c r="J177" s="54"/>
      <c r="K177" s="54"/>
      <c r="L177" s="54"/>
      <c r="M177" s="54"/>
      <c r="N177" s="54"/>
    </row>
    <row r="178" ht="14.25" customHeight="1">
      <c r="A178" s="54"/>
      <c r="B178" s="54"/>
      <c r="C178" s="54"/>
      <c r="D178" s="54"/>
      <c r="E178" s="54"/>
      <c r="F178" s="54"/>
      <c r="G178" s="54"/>
      <c r="H178" s="54"/>
      <c r="I178" s="54"/>
      <c r="J178" s="54"/>
      <c r="K178" s="54"/>
      <c r="L178" s="54"/>
      <c r="M178" s="54"/>
      <c r="N178" s="54"/>
    </row>
    <row r="179" ht="14.25" customHeight="1">
      <c r="A179" s="54"/>
      <c r="B179" s="54"/>
      <c r="C179" s="54"/>
      <c r="D179" s="54"/>
      <c r="E179" s="54"/>
      <c r="F179" s="54"/>
      <c r="G179" s="54"/>
      <c r="H179" s="54"/>
      <c r="I179" s="54"/>
      <c r="J179" s="54"/>
      <c r="K179" s="54"/>
      <c r="L179" s="54"/>
      <c r="M179" s="54"/>
      <c r="N179" s="54"/>
    </row>
    <row r="180" ht="14.25" customHeight="1">
      <c r="A180" s="54"/>
      <c r="B180" s="54"/>
      <c r="C180" s="54"/>
      <c r="D180" s="54"/>
      <c r="E180" s="54"/>
      <c r="F180" s="54"/>
      <c r="G180" s="54"/>
      <c r="H180" s="54"/>
      <c r="I180" s="54"/>
      <c r="J180" s="54"/>
      <c r="K180" s="54"/>
      <c r="L180" s="54"/>
      <c r="M180" s="54"/>
      <c r="N180" s="54"/>
    </row>
    <row r="181" ht="14.25" customHeight="1">
      <c r="A181" s="54"/>
      <c r="B181" s="54"/>
      <c r="C181" s="54"/>
      <c r="D181" s="54"/>
      <c r="E181" s="54"/>
      <c r="F181" s="54"/>
      <c r="G181" s="54"/>
      <c r="H181" s="54"/>
      <c r="I181" s="54"/>
      <c r="J181" s="54"/>
      <c r="K181" s="54"/>
      <c r="L181" s="54"/>
      <c r="M181" s="54"/>
      <c r="N181" s="54"/>
    </row>
    <row r="182" ht="14.25" customHeight="1">
      <c r="A182" s="54"/>
      <c r="B182" s="54"/>
      <c r="C182" s="54"/>
      <c r="D182" s="54"/>
      <c r="E182" s="54"/>
      <c r="F182" s="54"/>
      <c r="G182" s="54"/>
      <c r="H182" s="54"/>
      <c r="I182" s="54"/>
      <c r="J182" s="54"/>
      <c r="K182" s="54"/>
      <c r="L182" s="54"/>
      <c r="M182" s="54"/>
      <c r="N182" s="54"/>
    </row>
    <row r="183" ht="14.25" customHeight="1">
      <c r="A183" s="54"/>
      <c r="B183" s="54"/>
      <c r="C183" s="54"/>
      <c r="D183" s="54"/>
      <c r="E183" s="54"/>
      <c r="F183" s="54"/>
      <c r="G183" s="54"/>
      <c r="H183" s="54"/>
      <c r="I183" s="54"/>
      <c r="J183" s="54"/>
      <c r="K183" s="54"/>
      <c r="L183" s="54"/>
      <c r="M183" s="54"/>
      <c r="N183" s="54"/>
    </row>
    <row r="184" ht="14.25" customHeight="1">
      <c r="A184" s="54"/>
      <c r="B184" s="54"/>
      <c r="C184" s="54"/>
      <c r="D184" s="54"/>
      <c r="E184" s="54"/>
      <c r="F184" s="54"/>
      <c r="G184" s="54"/>
      <c r="H184" s="54"/>
      <c r="I184" s="54"/>
      <c r="J184" s="54"/>
      <c r="K184" s="54"/>
      <c r="L184" s="54"/>
      <c r="M184" s="54"/>
      <c r="N184" s="54"/>
    </row>
    <row r="185" ht="14.25" customHeight="1">
      <c r="A185" s="54"/>
      <c r="B185" s="54"/>
      <c r="C185" s="54"/>
      <c r="D185" s="54"/>
      <c r="E185" s="54"/>
      <c r="F185" s="54"/>
      <c r="G185" s="54"/>
      <c r="H185" s="54"/>
      <c r="I185" s="54"/>
      <c r="J185" s="54"/>
      <c r="K185" s="54"/>
      <c r="L185" s="54"/>
      <c r="M185" s="54"/>
      <c r="N185" s="54"/>
    </row>
    <row r="186" ht="14.25" customHeight="1">
      <c r="A186" s="54"/>
      <c r="B186" s="54"/>
      <c r="C186" s="54"/>
      <c r="D186" s="54"/>
      <c r="E186" s="54"/>
      <c r="F186" s="54"/>
      <c r="G186" s="54"/>
      <c r="H186" s="54"/>
      <c r="I186" s="54"/>
      <c r="J186" s="54"/>
      <c r="K186" s="54"/>
      <c r="L186" s="54"/>
      <c r="M186" s="54"/>
      <c r="N186" s="54"/>
    </row>
    <row r="187" ht="14.25" customHeight="1">
      <c r="A187" s="54"/>
      <c r="B187" s="54"/>
      <c r="C187" s="54"/>
      <c r="D187" s="54"/>
      <c r="E187" s="54"/>
      <c r="F187" s="54"/>
      <c r="G187" s="54"/>
      <c r="H187" s="54"/>
      <c r="I187" s="54"/>
      <c r="J187" s="54"/>
      <c r="K187" s="54"/>
      <c r="L187" s="54"/>
      <c r="M187" s="54"/>
      <c r="N187" s="54"/>
    </row>
    <row r="188" ht="14.25" customHeight="1">
      <c r="A188" s="54"/>
      <c r="B188" s="54"/>
      <c r="C188" s="54"/>
      <c r="D188" s="54"/>
      <c r="E188" s="54"/>
      <c r="F188" s="54"/>
      <c r="G188" s="54"/>
      <c r="H188" s="54"/>
      <c r="I188" s="54"/>
      <c r="J188" s="54"/>
      <c r="K188" s="54"/>
      <c r="L188" s="54"/>
      <c r="M188" s="54"/>
      <c r="N188" s="54"/>
    </row>
    <row r="189" ht="14.25" customHeight="1">
      <c r="A189" s="54"/>
      <c r="B189" s="54"/>
      <c r="C189" s="54"/>
      <c r="D189" s="54"/>
      <c r="E189" s="54"/>
      <c r="F189" s="54"/>
      <c r="G189" s="54"/>
      <c r="H189" s="54"/>
      <c r="I189" s="54"/>
      <c r="J189" s="54"/>
      <c r="K189" s="54"/>
      <c r="L189" s="54"/>
      <c r="M189" s="54"/>
      <c r="N189" s="54"/>
    </row>
    <row r="190" ht="14.25" customHeight="1">
      <c r="A190" s="54"/>
      <c r="B190" s="54"/>
      <c r="C190" s="54"/>
      <c r="D190" s="54"/>
      <c r="E190" s="54"/>
      <c r="F190" s="54"/>
      <c r="G190" s="54"/>
      <c r="H190" s="54"/>
      <c r="I190" s="54"/>
      <c r="J190" s="54"/>
      <c r="K190" s="54"/>
      <c r="L190" s="54"/>
      <c r="M190" s="54"/>
      <c r="N190" s="54"/>
    </row>
    <row r="191" ht="14.25" customHeight="1">
      <c r="A191" s="54"/>
      <c r="B191" s="54"/>
      <c r="C191" s="54"/>
      <c r="D191" s="54"/>
      <c r="E191" s="54"/>
      <c r="F191" s="54"/>
      <c r="G191" s="54"/>
      <c r="H191" s="54"/>
      <c r="I191" s="54"/>
      <c r="J191" s="54"/>
      <c r="K191" s="54"/>
      <c r="L191" s="54"/>
      <c r="M191" s="54"/>
      <c r="N191" s="54"/>
    </row>
    <row r="192" ht="14.25" customHeight="1">
      <c r="A192" s="54"/>
      <c r="B192" s="54"/>
      <c r="C192" s="54"/>
      <c r="D192" s="54"/>
      <c r="E192" s="54"/>
      <c r="F192" s="54"/>
      <c r="G192" s="54"/>
      <c r="H192" s="54"/>
      <c r="I192" s="54"/>
      <c r="J192" s="54"/>
      <c r="K192" s="54"/>
      <c r="L192" s="54"/>
      <c r="M192" s="54"/>
      <c r="N192" s="54"/>
    </row>
    <row r="193" ht="14.25" customHeight="1">
      <c r="A193" s="54"/>
      <c r="B193" s="54"/>
      <c r="C193" s="54"/>
      <c r="D193" s="54"/>
      <c r="E193" s="54"/>
      <c r="F193" s="54"/>
      <c r="G193" s="54"/>
      <c r="H193" s="54"/>
      <c r="I193" s="54"/>
      <c r="J193" s="54"/>
      <c r="K193" s="54"/>
      <c r="L193" s="54"/>
      <c r="M193" s="54"/>
      <c r="N193" s="54"/>
    </row>
    <row r="194" ht="14.25" customHeight="1">
      <c r="A194" s="54"/>
      <c r="B194" s="54"/>
      <c r="C194" s="54"/>
      <c r="D194" s="54"/>
      <c r="E194" s="54"/>
      <c r="F194" s="54"/>
      <c r="G194" s="54"/>
      <c r="H194" s="54"/>
      <c r="I194" s="54"/>
      <c r="J194" s="54"/>
      <c r="K194" s="54"/>
      <c r="L194" s="54"/>
      <c r="M194" s="54"/>
      <c r="N194" s="54"/>
    </row>
    <row r="195" ht="14.25" customHeight="1">
      <c r="A195" s="54"/>
      <c r="B195" s="54"/>
      <c r="C195" s="54"/>
      <c r="D195" s="54"/>
      <c r="E195" s="54"/>
      <c r="F195" s="54"/>
      <c r="G195" s="54"/>
      <c r="H195" s="54"/>
      <c r="I195" s="54"/>
      <c r="J195" s="54"/>
      <c r="K195" s="54"/>
      <c r="L195" s="54"/>
      <c r="M195" s="54"/>
      <c r="N195" s="54"/>
    </row>
    <row r="196" ht="14.25" customHeight="1">
      <c r="A196" s="54"/>
      <c r="B196" s="54"/>
      <c r="C196" s="54"/>
      <c r="D196" s="54"/>
      <c r="E196" s="54"/>
      <c r="F196" s="54"/>
      <c r="G196" s="54"/>
      <c r="H196" s="54"/>
      <c r="I196" s="54"/>
      <c r="J196" s="54"/>
      <c r="K196" s="54"/>
      <c r="L196" s="54"/>
      <c r="M196" s="54"/>
      <c r="N196" s="54"/>
    </row>
    <row r="197" ht="14.25" customHeight="1">
      <c r="A197" s="54"/>
      <c r="B197" s="54"/>
      <c r="C197" s="54"/>
      <c r="D197" s="54"/>
      <c r="E197" s="54"/>
      <c r="F197" s="54"/>
      <c r="G197" s="54"/>
      <c r="H197" s="54"/>
      <c r="I197" s="54"/>
      <c r="J197" s="54"/>
      <c r="K197" s="54"/>
      <c r="L197" s="54"/>
      <c r="M197" s="54"/>
      <c r="N197" s="54"/>
    </row>
    <row r="198" ht="14.25" customHeight="1">
      <c r="A198" s="54"/>
      <c r="B198" s="54"/>
      <c r="C198" s="54"/>
      <c r="D198" s="54"/>
      <c r="E198" s="54"/>
      <c r="F198" s="54"/>
      <c r="G198" s="54"/>
      <c r="H198" s="54"/>
      <c r="I198" s="54"/>
      <c r="J198" s="54"/>
      <c r="K198" s="54"/>
      <c r="L198" s="54"/>
      <c r="M198" s="54"/>
      <c r="N198" s="54"/>
    </row>
    <row r="199" ht="14.25" customHeight="1">
      <c r="A199" s="54"/>
      <c r="B199" s="54"/>
      <c r="C199" s="54"/>
      <c r="D199" s="54"/>
      <c r="E199" s="54"/>
      <c r="F199" s="54"/>
      <c r="G199" s="54"/>
      <c r="H199" s="54"/>
      <c r="I199" s="54"/>
      <c r="J199" s="54"/>
      <c r="K199" s="54"/>
      <c r="L199" s="54"/>
      <c r="M199" s="54"/>
      <c r="N199" s="54"/>
    </row>
    <row r="200" ht="14.25" customHeight="1">
      <c r="A200" s="54"/>
      <c r="B200" s="54"/>
      <c r="C200" s="54"/>
      <c r="D200" s="54"/>
      <c r="E200" s="54"/>
      <c r="F200" s="54"/>
      <c r="G200" s="54"/>
      <c r="H200" s="54"/>
      <c r="I200" s="54"/>
      <c r="J200" s="54"/>
      <c r="K200" s="54"/>
      <c r="L200" s="54"/>
      <c r="M200" s="54"/>
      <c r="N200" s="54"/>
    </row>
    <row r="201" ht="14.25" customHeight="1">
      <c r="A201" s="54"/>
      <c r="B201" s="54"/>
      <c r="C201" s="54"/>
      <c r="D201" s="54"/>
      <c r="E201" s="54"/>
      <c r="F201" s="54"/>
      <c r="G201" s="54"/>
      <c r="H201" s="54"/>
      <c r="I201" s="54"/>
      <c r="J201" s="54"/>
      <c r="K201" s="54"/>
      <c r="L201" s="54"/>
      <c r="M201" s="54"/>
      <c r="N201" s="54"/>
    </row>
    <row r="202" ht="14.25" customHeight="1">
      <c r="A202" s="54"/>
      <c r="B202" s="54"/>
      <c r="C202" s="54"/>
      <c r="D202" s="54"/>
      <c r="E202" s="54"/>
      <c r="F202" s="54"/>
      <c r="G202" s="54"/>
      <c r="H202" s="54"/>
      <c r="I202" s="54"/>
      <c r="J202" s="54"/>
      <c r="K202" s="54"/>
      <c r="L202" s="54"/>
      <c r="M202" s="54"/>
      <c r="N202" s="54"/>
    </row>
    <row r="203" ht="14.25" customHeight="1">
      <c r="A203" s="54"/>
      <c r="B203" s="54"/>
      <c r="C203" s="54"/>
      <c r="D203" s="54"/>
      <c r="E203" s="54"/>
      <c r="F203" s="54"/>
      <c r="G203" s="54"/>
      <c r="H203" s="54"/>
      <c r="I203" s="54"/>
      <c r="J203" s="54"/>
      <c r="K203" s="54"/>
      <c r="L203" s="54"/>
      <c r="M203" s="54"/>
      <c r="N203" s="54"/>
    </row>
    <row r="204" ht="14.25" customHeight="1">
      <c r="A204" s="54"/>
      <c r="B204" s="54"/>
      <c r="C204" s="54"/>
      <c r="D204" s="54"/>
      <c r="E204" s="54"/>
      <c r="F204" s="54"/>
      <c r="G204" s="54"/>
      <c r="H204" s="54"/>
      <c r="I204" s="54"/>
      <c r="J204" s="54"/>
      <c r="K204" s="54"/>
      <c r="L204" s="54"/>
      <c r="M204" s="54"/>
      <c r="N204" s="54"/>
    </row>
    <row r="205" ht="14.25" customHeight="1">
      <c r="A205" s="54"/>
      <c r="B205" s="54"/>
      <c r="C205" s="54"/>
      <c r="D205" s="54"/>
      <c r="E205" s="54"/>
      <c r="F205" s="54"/>
      <c r="G205" s="54"/>
      <c r="H205" s="54"/>
      <c r="I205" s="54"/>
      <c r="J205" s="54"/>
      <c r="K205" s="54"/>
      <c r="L205" s="54"/>
      <c r="M205" s="54"/>
      <c r="N205" s="54"/>
    </row>
    <row r="206" ht="14.25" customHeight="1">
      <c r="A206" s="54"/>
      <c r="B206" s="54"/>
      <c r="C206" s="54"/>
      <c r="D206" s="54"/>
      <c r="E206" s="54"/>
      <c r="F206" s="54"/>
      <c r="G206" s="54"/>
      <c r="H206" s="54"/>
      <c r="I206" s="54"/>
      <c r="J206" s="54"/>
      <c r="K206" s="54"/>
      <c r="L206" s="54"/>
      <c r="M206" s="54"/>
      <c r="N206" s="54"/>
    </row>
    <row r="207" ht="14.25" customHeight="1">
      <c r="A207" s="54"/>
      <c r="B207" s="54"/>
      <c r="C207" s="54"/>
      <c r="D207" s="54"/>
      <c r="E207" s="54"/>
      <c r="F207" s="54"/>
      <c r="G207" s="54"/>
      <c r="H207" s="54"/>
      <c r="I207" s="54"/>
      <c r="J207" s="54"/>
      <c r="K207" s="54"/>
      <c r="L207" s="54"/>
      <c r="M207" s="54"/>
      <c r="N207" s="54"/>
    </row>
    <row r="208" ht="14.25" customHeight="1">
      <c r="A208" s="54"/>
      <c r="B208" s="54"/>
      <c r="C208" s="54"/>
      <c r="D208" s="54"/>
      <c r="E208" s="54"/>
      <c r="F208" s="54"/>
      <c r="G208" s="54"/>
      <c r="H208" s="54"/>
      <c r="I208" s="54"/>
      <c r="J208" s="54"/>
      <c r="K208" s="54"/>
      <c r="L208" s="54"/>
      <c r="M208" s="54"/>
      <c r="N208" s="54"/>
    </row>
    <row r="209" ht="14.25" customHeight="1">
      <c r="A209" s="54"/>
      <c r="B209" s="54"/>
      <c r="C209" s="54"/>
      <c r="D209" s="54"/>
      <c r="E209" s="54"/>
      <c r="F209" s="54"/>
      <c r="G209" s="54"/>
      <c r="H209" s="54"/>
      <c r="I209" s="54"/>
      <c r="J209" s="54"/>
      <c r="K209" s="54"/>
      <c r="L209" s="54"/>
      <c r="M209" s="54"/>
      <c r="N209" s="54"/>
    </row>
    <row r="210" ht="14.25" customHeight="1">
      <c r="A210" s="54"/>
      <c r="B210" s="54"/>
      <c r="C210" s="54"/>
      <c r="D210" s="54"/>
      <c r="E210" s="54"/>
      <c r="F210" s="54"/>
      <c r="G210" s="54"/>
      <c r="H210" s="54"/>
      <c r="I210" s="54"/>
      <c r="J210" s="54"/>
      <c r="K210" s="54"/>
      <c r="L210" s="54"/>
      <c r="M210" s="54"/>
      <c r="N210" s="54"/>
    </row>
    <row r="211" ht="14.25" customHeight="1">
      <c r="A211" s="54"/>
      <c r="B211" s="54"/>
      <c r="C211" s="54"/>
      <c r="D211" s="54"/>
      <c r="E211" s="54"/>
      <c r="F211" s="54"/>
      <c r="G211" s="54"/>
      <c r="H211" s="54"/>
      <c r="I211" s="54"/>
      <c r="J211" s="54"/>
      <c r="K211" s="54"/>
      <c r="L211" s="54"/>
      <c r="M211" s="54"/>
      <c r="N211" s="54"/>
    </row>
    <row r="212" ht="14.25" customHeight="1">
      <c r="A212" s="54"/>
      <c r="B212" s="54"/>
      <c r="C212" s="54"/>
      <c r="D212" s="54"/>
      <c r="E212" s="54"/>
      <c r="F212" s="54"/>
      <c r="G212" s="54"/>
      <c r="H212" s="54"/>
      <c r="I212" s="54"/>
      <c r="J212" s="54"/>
      <c r="K212" s="54"/>
      <c r="L212" s="54"/>
      <c r="M212" s="54"/>
      <c r="N212" s="54"/>
    </row>
    <row r="213" ht="14.25" customHeight="1">
      <c r="A213" s="54"/>
      <c r="B213" s="54"/>
      <c r="C213" s="54"/>
      <c r="D213" s="54"/>
      <c r="E213" s="54"/>
      <c r="F213" s="54"/>
      <c r="G213" s="54"/>
      <c r="H213" s="54"/>
      <c r="I213" s="54"/>
      <c r="J213" s="54"/>
      <c r="K213" s="54"/>
      <c r="L213" s="54"/>
      <c r="M213" s="54"/>
      <c r="N213" s="54"/>
    </row>
    <row r="214" ht="14.25" customHeight="1">
      <c r="A214" s="54"/>
      <c r="B214" s="54"/>
      <c r="C214" s="54"/>
      <c r="D214" s="54"/>
      <c r="E214" s="54"/>
      <c r="F214" s="54"/>
      <c r="G214" s="54"/>
      <c r="H214" s="54"/>
      <c r="I214" s="54"/>
      <c r="J214" s="54"/>
      <c r="K214" s="54"/>
      <c r="L214" s="54"/>
      <c r="M214" s="54"/>
      <c r="N214" s="54"/>
    </row>
    <row r="215" ht="14.25" customHeight="1">
      <c r="A215" s="54"/>
      <c r="B215" s="54"/>
      <c r="C215" s="54"/>
      <c r="D215" s="54"/>
      <c r="E215" s="54"/>
      <c r="F215" s="54"/>
      <c r="G215" s="54"/>
      <c r="H215" s="54"/>
      <c r="I215" s="54"/>
      <c r="J215" s="54"/>
      <c r="K215" s="54"/>
      <c r="L215" s="54"/>
      <c r="M215" s="54"/>
      <c r="N215" s="54"/>
    </row>
    <row r="216" ht="14.25" customHeight="1">
      <c r="A216" s="54"/>
      <c r="B216" s="54"/>
      <c r="C216" s="54"/>
      <c r="D216" s="54"/>
      <c r="E216" s="54"/>
      <c r="F216" s="54"/>
      <c r="G216" s="54"/>
      <c r="H216" s="54"/>
      <c r="I216" s="54"/>
      <c r="J216" s="54"/>
      <c r="K216" s="54"/>
      <c r="L216" s="54"/>
      <c r="M216" s="54"/>
      <c r="N216" s="54"/>
    </row>
    <row r="217" ht="14.25" customHeight="1">
      <c r="A217" s="54"/>
      <c r="B217" s="54"/>
      <c r="C217" s="54"/>
      <c r="D217" s="54"/>
      <c r="E217" s="54"/>
      <c r="F217" s="54"/>
      <c r="G217" s="54"/>
      <c r="H217" s="54"/>
      <c r="I217" s="54"/>
      <c r="J217" s="54"/>
      <c r="K217" s="54"/>
      <c r="L217" s="54"/>
      <c r="M217" s="54"/>
      <c r="N217" s="54"/>
    </row>
    <row r="218" ht="14.25" customHeight="1">
      <c r="A218" s="54"/>
      <c r="B218" s="54"/>
      <c r="C218" s="54"/>
      <c r="D218" s="54"/>
      <c r="E218" s="54"/>
      <c r="F218" s="54"/>
      <c r="G218" s="54"/>
      <c r="H218" s="54"/>
      <c r="I218" s="54"/>
      <c r="J218" s="54"/>
      <c r="K218" s="54"/>
      <c r="L218" s="54"/>
      <c r="M218" s="54"/>
      <c r="N218" s="54"/>
    </row>
    <row r="219" ht="14.25" customHeight="1">
      <c r="A219" s="54"/>
      <c r="B219" s="54"/>
      <c r="C219" s="54"/>
      <c r="D219" s="54"/>
      <c r="E219" s="54"/>
      <c r="F219" s="54"/>
      <c r="G219" s="54"/>
      <c r="H219" s="54"/>
      <c r="I219" s="54"/>
      <c r="J219" s="54"/>
      <c r="K219" s="54"/>
      <c r="L219" s="54"/>
      <c r="M219" s="54"/>
      <c r="N219" s="54"/>
    </row>
    <row r="220" ht="14.25" customHeight="1">
      <c r="A220" s="54"/>
      <c r="B220" s="54"/>
      <c r="C220" s="54"/>
      <c r="D220" s="54"/>
      <c r="E220" s="54"/>
      <c r="F220" s="54"/>
      <c r="G220" s="54"/>
      <c r="H220" s="54"/>
      <c r="I220" s="54"/>
      <c r="J220" s="54"/>
      <c r="K220" s="54"/>
      <c r="L220" s="54"/>
      <c r="M220" s="54"/>
      <c r="N220" s="54"/>
    </row>
    <row r="221" ht="14.25" customHeight="1">
      <c r="A221" s="54"/>
      <c r="B221" s="54"/>
      <c r="C221" s="54"/>
      <c r="D221" s="54"/>
      <c r="E221" s="54"/>
      <c r="F221" s="54"/>
      <c r="G221" s="54"/>
      <c r="H221" s="54"/>
      <c r="I221" s="54"/>
      <c r="J221" s="54"/>
      <c r="K221" s="54"/>
      <c r="L221" s="54"/>
      <c r="M221" s="54"/>
      <c r="N221" s="54"/>
    </row>
    <row r="222" ht="14.25" customHeight="1">
      <c r="A222" s="54"/>
      <c r="B222" s="54"/>
      <c r="C222" s="54"/>
      <c r="D222" s="54"/>
      <c r="E222" s="54"/>
      <c r="F222" s="54"/>
      <c r="G222" s="54"/>
      <c r="H222" s="54"/>
      <c r="I222" s="54"/>
      <c r="J222" s="54"/>
      <c r="K222" s="54"/>
      <c r="L222" s="54"/>
      <c r="M222" s="54"/>
      <c r="N222" s="54"/>
    </row>
    <row r="223" ht="14.25" customHeight="1">
      <c r="A223" s="54"/>
      <c r="B223" s="54"/>
      <c r="C223" s="54"/>
      <c r="D223" s="54"/>
      <c r="E223" s="54"/>
      <c r="F223" s="54"/>
      <c r="G223" s="54"/>
      <c r="H223" s="54"/>
      <c r="I223" s="54"/>
      <c r="J223" s="54"/>
      <c r="K223" s="54"/>
      <c r="L223" s="54"/>
      <c r="M223" s="54"/>
      <c r="N223" s="54"/>
    </row>
    <row r="224" ht="14.25" customHeight="1">
      <c r="A224" s="54"/>
      <c r="B224" s="54"/>
      <c r="C224" s="54"/>
      <c r="D224" s="54"/>
      <c r="E224" s="54"/>
      <c r="F224" s="54"/>
      <c r="G224" s="54"/>
      <c r="H224" s="54"/>
      <c r="I224" s="54"/>
      <c r="J224" s="54"/>
      <c r="K224" s="54"/>
      <c r="L224" s="54"/>
      <c r="M224" s="54"/>
      <c r="N224" s="54"/>
    </row>
    <row r="225" ht="14.25" customHeight="1">
      <c r="A225" s="54"/>
      <c r="B225" s="54"/>
      <c r="C225" s="54"/>
      <c r="D225" s="54"/>
      <c r="E225" s="54"/>
      <c r="F225" s="54"/>
      <c r="G225" s="54"/>
      <c r="H225" s="54"/>
      <c r="I225" s="54"/>
      <c r="J225" s="54"/>
      <c r="K225" s="54"/>
      <c r="L225" s="54"/>
      <c r="M225" s="54"/>
      <c r="N225" s="54"/>
    </row>
    <row r="226" ht="14.25" customHeight="1">
      <c r="A226" s="54"/>
      <c r="B226" s="54"/>
      <c r="C226" s="54"/>
      <c r="D226" s="54"/>
      <c r="E226" s="54"/>
      <c r="F226" s="54"/>
      <c r="G226" s="54"/>
      <c r="H226" s="54"/>
      <c r="I226" s="54"/>
      <c r="J226" s="54"/>
      <c r="K226" s="54"/>
      <c r="L226" s="54"/>
      <c r="M226" s="54"/>
      <c r="N226" s="54"/>
    </row>
    <row r="227" ht="14.25" customHeight="1">
      <c r="A227" s="54"/>
      <c r="B227" s="54"/>
      <c r="C227" s="54"/>
      <c r="D227" s="54"/>
      <c r="E227" s="54"/>
      <c r="F227" s="54"/>
      <c r="G227" s="54"/>
      <c r="H227" s="54"/>
      <c r="I227" s="54"/>
      <c r="J227" s="54"/>
      <c r="K227" s="54"/>
      <c r="L227" s="54"/>
      <c r="M227" s="54"/>
      <c r="N227" s="54"/>
    </row>
    <row r="228" ht="14.25" customHeight="1">
      <c r="A228" s="54"/>
      <c r="B228" s="54"/>
      <c r="C228" s="54"/>
      <c r="D228" s="54"/>
      <c r="E228" s="54"/>
      <c r="F228" s="54"/>
      <c r="G228" s="54"/>
      <c r="H228" s="54"/>
      <c r="I228" s="54"/>
      <c r="J228" s="54"/>
      <c r="K228" s="54"/>
      <c r="L228" s="54"/>
      <c r="M228" s="54"/>
      <c r="N228" s="54"/>
    </row>
    <row r="229" ht="14.25" customHeight="1">
      <c r="A229" s="54"/>
      <c r="B229" s="54"/>
      <c r="C229" s="54"/>
      <c r="D229" s="54"/>
      <c r="E229" s="54"/>
      <c r="F229" s="54"/>
      <c r="G229" s="54"/>
      <c r="H229" s="54"/>
      <c r="I229" s="54"/>
      <c r="J229" s="54"/>
      <c r="K229" s="54"/>
      <c r="L229" s="54"/>
      <c r="M229" s="54"/>
      <c r="N229" s="54"/>
    </row>
    <row r="230" ht="14.25" customHeight="1">
      <c r="A230" s="54"/>
      <c r="B230" s="54"/>
      <c r="C230" s="54"/>
      <c r="D230" s="54"/>
      <c r="E230" s="54"/>
      <c r="F230" s="54"/>
      <c r="G230" s="54"/>
      <c r="H230" s="54"/>
      <c r="I230" s="54"/>
      <c r="J230" s="54"/>
      <c r="K230" s="54"/>
      <c r="L230" s="54"/>
      <c r="M230" s="54"/>
      <c r="N230" s="54"/>
    </row>
    <row r="231" ht="14.25" customHeight="1">
      <c r="A231" s="54"/>
      <c r="B231" s="54"/>
      <c r="C231" s="54"/>
      <c r="D231" s="54"/>
      <c r="E231" s="54"/>
      <c r="F231" s="54"/>
      <c r="G231" s="54"/>
      <c r="H231" s="54"/>
      <c r="I231" s="54"/>
      <c r="J231" s="54"/>
      <c r="K231" s="54"/>
      <c r="L231" s="54"/>
      <c r="M231" s="54"/>
      <c r="N231" s="54"/>
    </row>
    <row r="232" ht="14.25" customHeight="1">
      <c r="A232" s="54"/>
      <c r="B232" s="54"/>
      <c r="C232" s="54"/>
      <c r="D232" s="54"/>
      <c r="E232" s="54"/>
      <c r="F232" s="54"/>
      <c r="G232" s="54"/>
      <c r="H232" s="54"/>
      <c r="I232" s="54"/>
      <c r="J232" s="54"/>
      <c r="K232" s="54"/>
      <c r="L232" s="54"/>
      <c r="M232" s="54"/>
      <c r="N232" s="54"/>
    </row>
    <row r="233" ht="14.25" customHeight="1">
      <c r="A233" s="54"/>
      <c r="B233" s="54"/>
      <c r="C233" s="54"/>
      <c r="D233" s="54"/>
      <c r="E233" s="54"/>
      <c r="F233" s="54"/>
      <c r="G233" s="54"/>
      <c r="H233" s="54"/>
      <c r="I233" s="54"/>
      <c r="J233" s="54"/>
      <c r="K233" s="54"/>
      <c r="L233" s="54"/>
      <c r="M233" s="54"/>
      <c r="N233" s="54"/>
    </row>
    <row r="234" ht="14.25" customHeight="1">
      <c r="A234" s="54"/>
      <c r="B234" s="54"/>
      <c r="C234" s="54"/>
      <c r="D234" s="54"/>
      <c r="E234" s="54"/>
      <c r="F234" s="54"/>
      <c r="G234" s="54"/>
      <c r="H234" s="54"/>
      <c r="I234" s="54"/>
      <c r="J234" s="54"/>
      <c r="K234" s="54"/>
      <c r="L234" s="54"/>
      <c r="M234" s="54"/>
      <c r="N234" s="54"/>
    </row>
    <row r="235" ht="14.25" customHeight="1">
      <c r="A235" s="54"/>
      <c r="B235" s="54"/>
      <c r="C235" s="54"/>
      <c r="D235" s="54"/>
      <c r="E235" s="54"/>
      <c r="F235" s="54"/>
      <c r="G235" s="54"/>
      <c r="H235" s="54"/>
      <c r="I235" s="54"/>
      <c r="J235" s="54"/>
      <c r="K235" s="54"/>
      <c r="L235" s="54"/>
      <c r="M235" s="54"/>
      <c r="N235" s="54"/>
    </row>
    <row r="236" ht="14.25" customHeight="1">
      <c r="A236" s="54"/>
      <c r="B236" s="54"/>
      <c r="C236" s="54"/>
      <c r="D236" s="54"/>
      <c r="E236" s="54"/>
      <c r="F236" s="54"/>
      <c r="G236" s="54"/>
      <c r="H236" s="54"/>
      <c r="I236" s="54"/>
      <c r="J236" s="54"/>
      <c r="K236" s="54"/>
      <c r="L236" s="54"/>
      <c r="M236" s="54"/>
      <c r="N236" s="54"/>
    </row>
    <row r="237" ht="14.25" customHeight="1">
      <c r="A237" s="54"/>
      <c r="B237" s="54"/>
      <c r="C237" s="54"/>
      <c r="D237" s="54"/>
      <c r="E237" s="54"/>
      <c r="F237" s="54"/>
      <c r="G237" s="54"/>
      <c r="H237" s="54"/>
      <c r="I237" s="54"/>
      <c r="J237" s="54"/>
      <c r="K237" s="54"/>
      <c r="L237" s="54"/>
      <c r="M237" s="54"/>
      <c r="N237" s="54"/>
    </row>
    <row r="238" ht="14.25" customHeight="1">
      <c r="A238" s="54"/>
      <c r="B238" s="54"/>
      <c r="C238" s="54"/>
      <c r="D238" s="54"/>
      <c r="E238" s="54"/>
      <c r="F238" s="54"/>
      <c r="G238" s="54"/>
      <c r="H238" s="54"/>
      <c r="I238" s="54"/>
      <c r="J238" s="54"/>
      <c r="K238" s="54"/>
      <c r="L238" s="54"/>
      <c r="M238" s="54"/>
      <c r="N238" s="54"/>
    </row>
    <row r="239" ht="14.25" customHeight="1">
      <c r="A239" s="54"/>
      <c r="B239" s="54"/>
      <c r="C239" s="54"/>
      <c r="D239" s="54"/>
      <c r="E239" s="54"/>
      <c r="F239" s="54"/>
      <c r="G239" s="54"/>
      <c r="H239" s="54"/>
      <c r="I239" s="54"/>
      <c r="J239" s="54"/>
      <c r="K239" s="54"/>
      <c r="L239" s="54"/>
      <c r="M239" s="54"/>
      <c r="N239" s="54"/>
    </row>
    <row r="240" ht="14.25" customHeight="1">
      <c r="A240" s="54"/>
      <c r="B240" s="54"/>
      <c r="C240" s="54"/>
      <c r="D240" s="54"/>
      <c r="E240" s="54"/>
      <c r="F240" s="54"/>
      <c r="G240" s="54"/>
      <c r="H240" s="54"/>
      <c r="I240" s="54"/>
      <c r="J240" s="54"/>
      <c r="K240" s="54"/>
      <c r="L240" s="54"/>
      <c r="M240" s="54"/>
      <c r="N240" s="54"/>
    </row>
    <row r="241" ht="14.25" customHeight="1">
      <c r="A241" s="54"/>
      <c r="B241" s="54"/>
      <c r="C241" s="54"/>
      <c r="D241" s="54"/>
      <c r="E241" s="54"/>
      <c r="F241" s="54"/>
      <c r="G241" s="54"/>
      <c r="H241" s="54"/>
      <c r="I241" s="54"/>
      <c r="J241" s="54"/>
      <c r="K241" s="54"/>
      <c r="L241" s="54"/>
      <c r="M241" s="54"/>
      <c r="N241" s="54"/>
    </row>
    <row r="242" ht="14.25" customHeight="1">
      <c r="A242" s="54"/>
      <c r="B242" s="54"/>
      <c r="C242" s="54"/>
      <c r="D242" s="54"/>
      <c r="E242" s="54"/>
      <c r="F242" s="54"/>
      <c r="G242" s="54"/>
      <c r="H242" s="54"/>
      <c r="I242" s="54"/>
      <c r="J242" s="54"/>
      <c r="K242" s="54"/>
      <c r="L242" s="54"/>
      <c r="M242" s="54"/>
      <c r="N242" s="54"/>
    </row>
    <row r="243" ht="14.25" customHeight="1">
      <c r="A243" s="54"/>
      <c r="B243" s="54"/>
      <c r="C243" s="54"/>
      <c r="D243" s="54"/>
      <c r="E243" s="54"/>
      <c r="F243" s="54"/>
      <c r="G243" s="54"/>
      <c r="H243" s="54"/>
      <c r="I243" s="54"/>
      <c r="J243" s="54"/>
      <c r="K243" s="54"/>
      <c r="L243" s="54"/>
      <c r="M243" s="54"/>
      <c r="N243" s="54"/>
    </row>
    <row r="244" ht="14.25" customHeight="1">
      <c r="A244" s="54"/>
      <c r="B244" s="54"/>
      <c r="C244" s="54"/>
      <c r="D244" s="54"/>
      <c r="E244" s="54"/>
      <c r="F244" s="54"/>
      <c r="G244" s="54"/>
      <c r="H244" s="54"/>
      <c r="I244" s="54"/>
      <c r="J244" s="54"/>
      <c r="K244" s="54"/>
      <c r="L244" s="54"/>
      <c r="M244" s="54"/>
      <c r="N244" s="54"/>
    </row>
    <row r="245" ht="14.25" customHeight="1">
      <c r="A245" s="54"/>
      <c r="B245" s="54"/>
      <c r="C245" s="54"/>
      <c r="D245" s="54"/>
      <c r="E245" s="54"/>
      <c r="F245" s="54"/>
      <c r="G245" s="54"/>
      <c r="H245" s="54"/>
      <c r="I245" s="54"/>
      <c r="J245" s="54"/>
      <c r="K245" s="54"/>
      <c r="L245" s="54"/>
      <c r="M245" s="54"/>
      <c r="N245" s="54"/>
    </row>
    <row r="246" ht="14.25" customHeight="1">
      <c r="A246" s="54"/>
      <c r="B246" s="54"/>
      <c r="C246" s="54"/>
      <c r="D246" s="54"/>
      <c r="E246" s="54"/>
      <c r="F246" s="54"/>
      <c r="G246" s="54"/>
      <c r="H246" s="54"/>
      <c r="I246" s="54"/>
      <c r="J246" s="54"/>
      <c r="K246" s="54"/>
      <c r="L246" s="54"/>
      <c r="M246" s="54"/>
      <c r="N246" s="54"/>
    </row>
    <row r="247" ht="14.25" customHeight="1">
      <c r="A247" s="54"/>
      <c r="B247" s="54"/>
      <c r="C247" s="54"/>
      <c r="D247" s="54"/>
      <c r="E247" s="54"/>
      <c r="F247" s="54"/>
      <c r="G247" s="54"/>
      <c r="H247" s="54"/>
      <c r="I247" s="54"/>
      <c r="J247" s="54"/>
      <c r="K247" s="54"/>
      <c r="L247" s="54"/>
      <c r="M247" s="54"/>
      <c r="N247" s="54"/>
    </row>
    <row r="248" ht="14.25" customHeight="1">
      <c r="A248" s="54"/>
      <c r="B248" s="54"/>
      <c r="C248" s="54"/>
      <c r="D248" s="54"/>
      <c r="E248" s="54"/>
      <c r="F248" s="54"/>
      <c r="G248" s="54"/>
      <c r="H248" s="54"/>
      <c r="I248" s="54"/>
      <c r="J248" s="54"/>
      <c r="K248" s="54"/>
      <c r="L248" s="54"/>
      <c r="M248" s="54"/>
      <c r="N248" s="54"/>
    </row>
    <row r="249" ht="14.25" customHeight="1">
      <c r="A249" s="54"/>
      <c r="B249" s="54"/>
      <c r="C249" s="54"/>
      <c r="D249" s="54"/>
      <c r="E249" s="54"/>
      <c r="F249" s="54"/>
      <c r="G249" s="54"/>
      <c r="H249" s="54"/>
      <c r="I249" s="54"/>
      <c r="J249" s="54"/>
      <c r="K249" s="54"/>
      <c r="L249" s="54"/>
      <c r="M249" s="54"/>
      <c r="N249" s="54"/>
    </row>
    <row r="250" ht="14.25" customHeight="1">
      <c r="A250" s="54"/>
      <c r="B250" s="54"/>
      <c r="C250" s="54"/>
      <c r="D250" s="54"/>
      <c r="E250" s="54"/>
      <c r="F250" s="54"/>
      <c r="G250" s="54"/>
      <c r="H250" s="54"/>
      <c r="I250" s="54"/>
      <c r="J250" s="54"/>
      <c r="K250" s="54"/>
      <c r="L250" s="54"/>
      <c r="M250" s="54"/>
      <c r="N250" s="54"/>
    </row>
    <row r="251" ht="14.25" customHeight="1">
      <c r="A251" s="54"/>
      <c r="B251" s="54"/>
      <c r="C251" s="54"/>
      <c r="D251" s="54"/>
      <c r="E251" s="54"/>
      <c r="F251" s="54"/>
      <c r="G251" s="54"/>
      <c r="H251" s="54"/>
      <c r="I251" s="54"/>
      <c r="J251" s="54"/>
      <c r="K251" s="54"/>
      <c r="L251" s="54"/>
      <c r="M251" s="54"/>
      <c r="N251" s="54"/>
    </row>
    <row r="252" ht="14.25" customHeight="1">
      <c r="A252" s="54"/>
      <c r="B252" s="54"/>
      <c r="C252" s="54"/>
      <c r="D252" s="54"/>
      <c r="E252" s="54"/>
      <c r="F252" s="54"/>
      <c r="G252" s="54"/>
      <c r="H252" s="54"/>
      <c r="I252" s="54"/>
      <c r="J252" s="54"/>
      <c r="K252" s="54"/>
      <c r="L252" s="54"/>
      <c r="M252" s="54"/>
      <c r="N252" s="54"/>
    </row>
    <row r="253" ht="14.25" customHeight="1">
      <c r="A253" s="54"/>
      <c r="B253" s="54"/>
      <c r="C253" s="54"/>
      <c r="D253" s="54"/>
      <c r="E253" s="54"/>
      <c r="F253" s="54"/>
      <c r="G253" s="54"/>
      <c r="H253" s="54"/>
      <c r="I253" s="54"/>
      <c r="J253" s="54"/>
      <c r="K253" s="54"/>
      <c r="L253" s="54"/>
      <c r="M253" s="54"/>
      <c r="N253" s="54"/>
    </row>
    <row r="254" ht="14.25" customHeight="1">
      <c r="A254" s="54"/>
      <c r="B254" s="54"/>
      <c r="C254" s="54"/>
      <c r="D254" s="54"/>
      <c r="E254" s="54"/>
      <c r="F254" s="54"/>
      <c r="G254" s="54"/>
      <c r="H254" s="54"/>
      <c r="I254" s="54"/>
      <c r="J254" s="54"/>
      <c r="K254" s="54"/>
      <c r="L254" s="54"/>
      <c r="M254" s="54"/>
      <c r="N254" s="54"/>
    </row>
    <row r="255" ht="14.25" customHeight="1">
      <c r="A255" s="54"/>
      <c r="B255" s="54"/>
      <c r="C255" s="54"/>
      <c r="D255" s="54"/>
      <c r="E255" s="54"/>
      <c r="F255" s="54"/>
      <c r="G255" s="54"/>
      <c r="H255" s="54"/>
      <c r="I255" s="54"/>
      <c r="J255" s="54"/>
      <c r="K255" s="54"/>
      <c r="L255" s="54"/>
      <c r="M255" s="54"/>
      <c r="N255" s="54"/>
    </row>
    <row r="256" ht="14.25" customHeight="1">
      <c r="A256" s="54"/>
      <c r="B256" s="54"/>
      <c r="C256" s="54"/>
      <c r="D256" s="54"/>
      <c r="E256" s="54"/>
      <c r="F256" s="54"/>
      <c r="G256" s="54"/>
      <c r="H256" s="54"/>
      <c r="I256" s="54"/>
      <c r="J256" s="54"/>
      <c r="K256" s="54"/>
      <c r="L256" s="54"/>
      <c r="M256" s="54"/>
      <c r="N256" s="54"/>
    </row>
    <row r="257" ht="14.25" customHeight="1">
      <c r="A257" s="54"/>
      <c r="B257" s="54"/>
      <c r="C257" s="54"/>
      <c r="D257" s="54"/>
      <c r="E257" s="54"/>
      <c r="F257" s="54"/>
      <c r="G257" s="54"/>
      <c r="H257" s="54"/>
      <c r="I257" s="54"/>
      <c r="J257" s="54"/>
      <c r="K257" s="54"/>
      <c r="L257" s="54"/>
      <c r="M257" s="54"/>
      <c r="N257" s="54"/>
    </row>
    <row r="258" ht="14.25" customHeight="1">
      <c r="A258" s="54"/>
      <c r="B258" s="54"/>
      <c r="C258" s="54"/>
      <c r="D258" s="54"/>
      <c r="E258" s="54"/>
      <c r="F258" s="54"/>
      <c r="G258" s="54"/>
      <c r="H258" s="54"/>
      <c r="I258" s="54"/>
      <c r="J258" s="54"/>
      <c r="K258" s="54"/>
      <c r="L258" s="54"/>
      <c r="M258" s="54"/>
      <c r="N258" s="54"/>
    </row>
    <row r="259" ht="14.25" customHeight="1">
      <c r="A259" s="54"/>
      <c r="B259" s="54"/>
      <c r="C259" s="54"/>
      <c r="D259" s="54"/>
      <c r="E259" s="54"/>
      <c r="F259" s="54"/>
      <c r="G259" s="54"/>
      <c r="H259" s="54"/>
      <c r="I259" s="54"/>
      <c r="J259" s="54"/>
      <c r="K259" s="54"/>
      <c r="L259" s="54"/>
      <c r="M259" s="54"/>
      <c r="N259" s="54"/>
    </row>
    <row r="260" ht="14.25" customHeight="1">
      <c r="A260" s="54"/>
      <c r="B260" s="54"/>
      <c r="C260" s="54"/>
      <c r="D260" s="54"/>
      <c r="E260" s="54"/>
      <c r="F260" s="54"/>
      <c r="G260" s="54"/>
      <c r="H260" s="54"/>
      <c r="I260" s="54"/>
      <c r="J260" s="54"/>
      <c r="K260" s="54"/>
      <c r="L260" s="54"/>
      <c r="M260" s="54"/>
      <c r="N260" s="54"/>
    </row>
    <row r="261" ht="14.25" customHeight="1">
      <c r="A261" s="54"/>
      <c r="B261" s="54"/>
      <c r="C261" s="54"/>
      <c r="D261" s="54"/>
      <c r="E261" s="54"/>
      <c r="F261" s="54"/>
      <c r="G261" s="54"/>
      <c r="H261" s="54"/>
      <c r="I261" s="54"/>
      <c r="J261" s="54"/>
      <c r="K261" s="54"/>
      <c r="L261" s="54"/>
      <c r="M261" s="54"/>
      <c r="N261" s="54"/>
    </row>
    <row r="262" ht="14.25" customHeight="1">
      <c r="A262" s="54"/>
      <c r="B262" s="54"/>
      <c r="C262" s="54"/>
      <c r="D262" s="54"/>
      <c r="E262" s="54"/>
      <c r="F262" s="54"/>
      <c r="G262" s="54"/>
      <c r="H262" s="54"/>
      <c r="I262" s="54"/>
      <c r="J262" s="54"/>
      <c r="K262" s="54"/>
      <c r="L262" s="54"/>
      <c r="M262" s="54"/>
      <c r="N262" s="54"/>
    </row>
    <row r="263" ht="14.25" customHeight="1">
      <c r="A263" s="54"/>
      <c r="B263" s="54"/>
      <c r="C263" s="54"/>
      <c r="D263" s="54"/>
      <c r="E263" s="54"/>
      <c r="F263" s="54"/>
      <c r="G263" s="54"/>
      <c r="H263" s="54"/>
      <c r="I263" s="54"/>
      <c r="J263" s="54"/>
      <c r="K263" s="54"/>
      <c r="L263" s="54"/>
      <c r="M263" s="54"/>
      <c r="N263" s="54"/>
    </row>
    <row r="264" ht="14.25" customHeight="1">
      <c r="A264" s="54"/>
      <c r="B264" s="54"/>
      <c r="C264" s="54"/>
      <c r="D264" s="54"/>
      <c r="E264" s="54"/>
      <c r="F264" s="54"/>
      <c r="G264" s="54"/>
      <c r="H264" s="54"/>
      <c r="I264" s="54"/>
      <c r="J264" s="54"/>
      <c r="K264" s="54"/>
      <c r="L264" s="54"/>
      <c r="M264" s="54"/>
      <c r="N264" s="54"/>
    </row>
    <row r="265" ht="14.25" customHeight="1">
      <c r="A265" s="54"/>
      <c r="B265" s="54"/>
      <c r="C265" s="54"/>
      <c r="D265" s="54"/>
      <c r="E265" s="54"/>
      <c r="F265" s="54"/>
      <c r="G265" s="54"/>
      <c r="H265" s="54"/>
      <c r="I265" s="54"/>
      <c r="J265" s="54"/>
      <c r="K265" s="54"/>
      <c r="L265" s="54"/>
      <c r="M265" s="54"/>
      <c r="N265" s="54"/>
    </row>
    <row r="266" ht="14.25" customHeight="1">
      <c r="A266" s="54"/>
      <c r="B266" s="54"/>
      <c r="C266" s="54"/>
      <c r="D266" s="54"/>
      <c r="E266" s="54"/>
      <c r="F266" s="54"/>
      <c r="G266" s="54"/>
      <c r="H266" s="54"/>
      <c r="I266" s="54"/>
      <c r="J266" s="54"/>
      <c r="K266" s="54"/>
      <c r="L266" s="54"/>
      <c r="M266" s="54"/>
      <c r="N266" s="54"/>
    </row>
    <row r="267" ht="14.25" customHeight="1">
      <c r="A267" s="54"/>
      <c r="B267" s="54"/>
      <c r="C267" s="54"/>
      <c r="D267" s="54"/>
      <c r="E267" s="54"/>
      <c r="F267" s="54"/>
      <c r="G267" s="54"/>
      <c r="H267" s="54"/>
      <c r="I267" s="54"/>
      <c r="J267" s="54"/>
      <c r="K267" s="54"/>
      <c r="L267" s="54"/>
      <c r="M267" s="54"/>
      <c r="N267" s="54"/>
    </row>
    <row r="268" ht="14.25" customHeight="1">
      <c r="A268" s="54"/>
      <c r="B268" s="54"/>
      <c r="C268" s="54"/>
      <c r="D268" s="54"/>
      <c r="E268" s="54"/>
      <c r="F268" s="54"/>
      <c r="G268" s="54"/>
      <c r="H268" s="54"/>
      <c r="I268" s="54"/>
      <c r="J268" s="54"/>
      <c r="K268" s="54"/>
      <c r="L268" s="54"/>
      <c r="M268" s="54"/>
      <c r="N268" s="54"/>
    </row>
    <row r="269" ht="14.25" customHeight="1">
      <c r="A269" s="54"/>
      <c r="B269" s="54"/>
      <c r="C269" s="54"/>
      <c r="D269" s="54"/>
      <c r="E269" s="54"/>
      <c r="F269" s="54"/>
      <c r="G269" s="54"/>
      <c r="H269" s="54"/>
      <c r="I269" s="54"/>
      <c r="J269" s="54"/>
      <c r="K269" s="54"/>
      <c r="L269" s="54"/>
      <c r="M269" s="54"/>
      <c r="N269" s="54"/>
    </row>
    <row r="270" ht="14.25" customHeight="1">
      <c r="A270" s="54"/>
      <c r="B270" s="54"/>
      <c r="C270" s="54"/>
      <c r="D270" s="54"/>
      <c r="E270" s="54"/>
      <c r="F270" s="54"/>
      <c r="G270" s="54"/>
      <c r="H270" s="54"/>
      <c r="I270" s="54"/>
      <c r="J270" s="54"/>
      <c r="K270" s="54"/>
      <c r="L270" s="54"/>
      <c r="M270" s="54"/>
      <c r="N270" s="54"/>
    </row>
    <row r="271" ht="14.25" customHeight="1">
      <c r="A271" s="54"/>
      <c r="B271" s="54"/>
      <c r="C271" s="54"/>
      <c r="D271" s="54"/>
      <c r="E271" s="54"/>
      <c r="F271" s="54"/>
      <c r="G271" s="54"/>
      <c r="H271" s="54"/>
      <c r="I271" s="54"/>
      <c r="J271" s="54"/>
      <c r="K271" s="54"/>
      <c r="L271" s="54"/>
      <c r="M271" s="54"/>
      <c r="N271" s="54"/>
    </row>
    <row r="272" ht="14.25" customHeight="1">
      <c r="A272" s="54"/>
      <c r="B272" s="54"/>
      <c r="C272" s="54"/>
      <c r="D272" s="54"/>
      <c r="E272" s="54"/>
      <c r="F272" s="54"/>
      <c r="G272" s="54"/>
      <c r="H272" s="54"/>
      <c r="I272" s="54"/>
      <c r="J272" s="54"/>
      <c r="K272" s="54"/>
      <c r="L272" s="54"/>
      <c r="M272" s="54"/>
      <c r="N272" s="54"/>
    </row>
    <row r="273" ht="14.25" customHeight="1">
      <c r="A273" s="54"/>
      <c r="B273" s="54"/>
      <c r="C273" s="54"/>
      <c r="D273" s="54"/>
      <c r="E273" s="54"/>
      <c r="F273" s="54"/>
      <c r="G273" s="54"/>
      <c r="H273" s="54"/>
      <c r="I273" s="54"/>
      <c r="J273" s="54"/>
      <c r="K273" s="54"/>
      <c r="L273" s="54"/>
      <c r="M273" s="54"/>
      <c r="N273" s="54"/>
    </row>
    <row r="274" ht="14.25" customHeight="1">
      <c r="A274" s="54"/>
      <c r="B274" s="54"/>
      <c r="C274" s="54"/>
      <c r="D274" s="54"/>
      <c r="E274" s="54"/>
      <c r="F274" s="54"/>
      <c r="G274" s="54"/>
      <c r="H274" s="54"/>
      <c r="I274" s="54"/>
      <c r="J274" s="54"/>
      <c r="K274" s="54"/>
      <c r="L274" s="54"/>
      <c r="M274" s="54"/>
      <c r="N274" s="54"/>
    </row>
    <row r="275" ht="14.25" customHeight="1">
      <c r="A275" s="54"/>
      <c r="B275" s="54"/>
      <c r="C275" s="54"/>
      <c r="D275" s="54"/>
      <c r="E275" s="54"/>
      <c r="F275" s="54"/>
      <c r="G275" s="54"/>
      <c r="H275" s="54"/>
      <c r="I275" s="54"/>
      <c r="J275" s="54"/>
      <c r="K275" s="54"/>
      <c r="L275" s="54"/>
      <c r="M275" s="54"/>
      <c r="N275" s="54"/>
    </row>
    <row r="276" ht="14.25" customHeight="1">
      <c r="A276" s="54"/>
      <c r="B276" s="54"/>
      <c r="C276" s="54"/>
      <c r="D276" s="54"/>
      <c r="E276" s="54"/>
      <c r="F276" s="54"/>
      <c r="G276" s="54"/>
      <c r="H276" s="54"/>
      <c r="I276" s="54"/>
      <c r="J276" s="54"/>
      <c r="K276" s="54"/>
      <c r="L276" s="54"/>
      <c r="M276" s="54"/>
      <c r="N276" s="54"/>
    </row>
    <row r="277" ht="14.25" customHeight="1">
      <c r="A277" s="54"/>
      <c r="B277" s="54"/>
      <c r="C277" s="54"/>
      <c r="D277" s="54"/>
      <c r="E277" s="54"/>
      <c r="F277" s="54"/>
      <c r="G277" s="54"/>
      <c r="H277" s="54"/>
      <c r="I277" s="54"/>
      <c r="J277" s="54"/>
      <c r="K277" s="54"/>
      <c r="L277" s="54"/>
      <c r="M277" s="54"/>
      <c r="N277" s="54"/>
    </row>
    <row r="278" ht="14.25" customHeight="1">
      <c r="A278" s="54"/>
      <c r="B278" s="54"/>
      <c r="C278" s="54"/>
      <c r="D278" s="54"/>
      <c r="E278" s="54"/>
      <c r="F278" s="54"/>
      <c r="G278" s="54"/>
      <c r="H278" s="54"/>
      <c r="I278" s="54"/>
      <c r="J278" s="54"/>
      <c r="K278" s="54"/>
      <c r="L278" s="54"/>
      <c r="M278" s="54"/>
      <c r="N278" s="54"/>
    </row>
    <row r="279" ht="14.25" customHeight="1">
      <c r="A279" s="54"/>
      <c r="B279" s="54"/>
      <c r="C279" s="54"/>
      <c r="D279" s="54"/>
      <c r="E279" s="54"/>
      <c r="F279" s="54"/>
      <c r="G279" s="54"/>
      <c r="H279" s="54"/>
      <c r="I279" s="54"/>
      <c r="J279" s="54"/>
      <c r="K279" s="54"/>
      <c r="L279" s="54"/>
      <c r="M279" s="54"/>
      <c r="N279" s="54"/>
    </row>
    <row r="280" ht="14.25" customHeight="1">
      <c r="A280" s="54"/>
      <c r="B280" s="54"/>
      <c r="C280" s="54"/>
      <c r="D280" s="54"/>
      <c r="E280" s="54"/>
      <c r="F280" s="54"/>
      <c r="G280" s="54"/>
      <c r="H280" s="54"/>
      <c r="I280" s="54"/>
      <c r="J280" s="54"/>
      <c r="K280" s="54"/>
      <c r="L280" s="54"/>
      <c r="M280" s="54"/>
      <c r="N280" s="54"/>
    </row>
    <row r="281" ht="14.25" customHeight="1">
      <c r="A281" s="54"/>
      <c r="B281" s="54"/>
      <c r="C281" s="54"/>
      <c r="D281" s="54"/>
      <c r="E281" s="54"/>
      <c r="F281" s="54"/>
      <c r="G281" s="54"/>
      <c r="H281" s="54"/>
      <c r="I281" s="54"/>
      <c r="J281" s="54"/>
      <c r="K281" s="54"/>
      <c r="L281" s="54"/>
      <c r="M281" s="54"/>
      <c r="N281" s="54"/>
    </row>
    <row r="282" ht="14.25" customHeight="1">
      <c r="A282" s="54"/>
      <c r="B282" s="54"/>
      <c r="C282" s="54"/>
      <c r="D282" s="54"/>
      <c r="E282" s="54"/>
      <c r="F282" s="54"/>
      <c r="G282" s="54"/>
      <c r="H282" s="54"/>
      <c r="I282" s="54"/>
      <c r="J282" s="54"/>
      <c r="K282" s="54"/>
      <c r="L282" s="54"/>
      <c r="M282" s="54"/>
      <c r="N282" s="54"/>
    </row>
    <row r="283" ht="14.25" customHeight="1">
      <c r="A283" s="54"/>
      <c r="B283" s="54"/>
      <c r="C283" s="54"/>
      <c r="D283" s="54"/>
      <c r="E283" s="54"/>
      <c r="F283" s="54"/>
      <c r="G283" s="54"/>
      <c r="H283" s="54"/>
      <c r="I283" s="54"/>
      <c r="J283" s="54"/>
      <c r="K283" s="54"/>
      <c r="L283" s="54"/>
      <c r="M283" s="54"/>
      <c r="N283" s="54"/>
    </row>
    <row r="284" ht="14.25" customHeight="1">
      <c r="A284" s="54"/>
      <c r="B284" s="54"/>
      <c r="C284" s="54"/>
      <c r="D284" s="54"/>
      <c r="E284" s="54"/>
      <c r="F284" s="54"/>
      <c r="G284" s="54"/>
      <c r="H284" s="54"/>
      <c r="I284" s="54"/>
      <c r="J284" s="54"/>
      <c r="K284" s="54"/>
      <c r="L284" s="54"/>
      <c r="M284" s="54"/>
      <c r="N284" s="54"/>
    </row>
    <row r="285" ht="14.25" customHeight="1">
      <c r="A285" s="54"/>
      <c r="B285" s="54"/>
      <c r="C285" s="54"/>
      <c r="D285" s="54"/>
      <c r="E285" s="54"/>
      <c r="F285" s="54"/>
      <c r="G285" s="54"/>
      <c r="H285" s="54"/>
      <c r="I285" s="54"/>
      <c r="J285" s="54"/>
      <c r="K285" s="54"/>
      <c r="L285" s="54"/>
      <c r="M285" s="54"/>
      <c r="N285" s="54"/>
    </row>
    <row r="286" ht="14.25" customHeight="1">
      <c r="A286" s="54"/>
      <c r="B286" s="54"/>
      <c r="C286" s="54"/>
      <c r="D286" s="54"/>
      <c r="E286" s="54"/>
      <c r="F286" s="54"/>
      <c r="G286" s="54"/>
      <c r="H286" s="54"/>
      <c r="I286" s="54"/>
      <c r="J286" s="54"/>
      <c r="K286" s="54"/>
      <c r="L286" s="54"/>
      <c r="M286" s="54"/>
      <c r="N286" s="54"/>
    </row>
    <row r="287" ht="14.25" customHeight="1">
      <c r="A287" s="54"/>
      <c r="B287" s="54"/>
      <c r="C287" s="54"/>
      <c r="D287" s="54"/>
      <c r="E287" s="54"/>
      <c r="F287" s="54"/>
      <c r="G287" s="54"/>
      <c r="H287" s="54"/>
      <c r="I287" s="54"/>
      <c r="J287" s="54"/>
      <c r="K287" s="54"/>
      <c r="L287" s="54"/>
      <c r="M287" s="54"/>
      <c r="N287" s="54"/>
    </row>
    <row r="288" ht="14.25" customHeight="1">
      <c r="A288" s="54"/>
      <c r="B288" s="54"/>
      <c r="C288" s="54"/>
      <c r="D288" s="54"/>
      <c r="E288" s="54"/>
      <c r="F288" s="54"/>
      <c r="G288" s="54"/>
      <c r="H288" s="54"/>
      <c r="I288" s="54"/>
      <c r="J288" s="54"/>
      <c r="K288" s="54"/>
      <c r="L288" s="54"/>
      <c r="M288" s="54"/>
      <c r="N288" s="54"/>
    </row>
    <row r="289" ht="14.25" customHeight="1">
      <c r="A289" s="54"/>
      <c r="B289" s="54"/>
      <c r="C289" s="54"/>
      <c r="D289" s="54"/>
      <c r="E289" s="54"/>
      <c r="F289" s="54"/>
      <c r="G289" s="54"/>
      <c r="H289" s="54"/>
      <c r="I289" s="54"/>
      <c r="J289" s="54"/>
      <c r="K289" s="54"/>
      <c r="L289" s="54"/>
      <c r="M289" s="54"/>
      <c r="N289" s="54"/>
    </row>
    <row r="290" ht="14.25" customHeight="1">
      <c r="A290" s="54"/>
      <c r="B290" s="54"/>
      <c r="C290" s="54"/>
      <c r="D290" s="54"/>
      <c r="E290" s="54"/>
      <c r="F290" s="54"/>
      <c r="G290" s="54"/>
      <c r="H290" s="54"/>
      <c r="I290" s="54"/>
      <c r="J290" s="54"/>
      <c r="K290" s="54"/>
      <c r="L290" s="54"/>
      <c r="M290" s="54"/>
      <c r="N290" s="54"/>
    </row>
    <row r="291" ht="14.25" customHeight="1">
      <c r="A291" s="54"/>
      <c r="B291" s="54"/>
      <c r="C291" s="54"/>
      <c r="D291" s="54"/>
      <c r="E291" s="54"/>
      <c r="F291" s="54"/>
      <c r="G291" s="54"/>
      <c r="H291" s="54"/>
      <c r="I291" s="54"/>
      <c r="J291" s="54"/>
      <c r="K291" s="54"/>
      <c r="L291" s="54"/>
      <c r="M291" s="54"/>
      <c r="N291" s="54"/>
    </row>
    <row r="292" ht="14.25" customHeight="1">
      <c r="A292" s="54"/>
      <c r="B292" s="54"/>
      <c r="C292" s="54"/>
      <c r="D292" s="54"/>
      <c r="E292" s="54"/>
      <c r="F292" s="54"/>
      <c r="G292" s="54"/>
      <c r="H292" s="54"/>
      <c r="I292" s="54"/>
      <c r="J292" s="54"/>
      <c r="K292" s="54"/>
      <c r="L292" s="54"/>
      <c r="M292" s="54"/>
      <c r="N292" s="54"/>
    </row>
    <row r="293" ht="14.25" customHeight="1">
      <c r="A293" s="54"/>
      <c r="B293" s="54"/>
      <c r="C293" s="54"/>
      <c r="D293" s="54"/>
      <c r="E293" s="54"/>
      <c r="F293" s="54"/>
      <c r="G293" s="54"/>
      <c r="H293" s="54"/>
      <c r="I293" s="54"/>
      <c r="J293" s="54"/>
      <c r="K293" s="54"/>
      <c r="L293" s="54"/>
      <c r="M293" s="54"/>
      <c r="N293" s="54"/>
    </row>
    <row r="294" ht="14.25" customHeight="1">
      <c r="A294" s="54"/>
      <c r="B294" s="54"/>
      <c r="C294" s="54"/>
      <c r="D294" s="54"/>
      <c r="E294" s="54"/>
      <c r="F294" s="54"/>
      <c r="G294" s="54"/>
      <c r="H294" s="54"/>
      <c r="I294" s="54"/>
      <c r="J294" s="54"/>
      <c r="K294" s="54"/>
      <c r="L294" s="54"/>
      <c r="M294" s="54"/>
      <c r="N294" s="54"/>
    </row>
    <row r="295" ht="14.25" customHeight="1">
      <c r="A295" s="54"/>
      <c r="B295" s="54"/>
      <c r="C295" s="54"/>
      <c r="D295" s="54"/>
      <c r="E295" s="54"/>
      <c r="F295" s="54"/>
      <c r="G295" s="54"/>
      <c r="H295" s="54"/>
      <c r="I295" s="54"/>
      <c r="J295" s="54"/>
      <c r="K295" s="54"/>
      <c r="L295" s="54"/>
      <c r="M295" s="54"/>
      <c r="N295" s="54"/>
    </row>
    <row r="296" ht="14.25" customHeight="1">
      <c r="A296" s="54"/>
      <c r="B296" s="54"/>
      <c r="C296" s="54"/>
      <c r="D296" s="54"/>
      <c r="E296" s="54"/>
      <c r="F296" s="54"/>
      <c r="G296" s="54"/>
      <c r="H296" s="54"/>
      <c r="I296" s="54"/>
      <c r="J296" s="54"/>
      <c r="K296" s="54"/>
      <c r="L296" s="54"/>
      <c r="M296" s="54"/>
      <c r="N296" s="54"/>
    </row>
    <row r="297" ht="14.25" customHeight="1">
      <c r="A297" s="54"/>
      <c r="B297" s="54"/>
      <c r="C297" s="54"/>
      <c r="D297" s="54"/>
      <c r="E297" s="54"/>
      <c r="F297" s="54"/>
      <c r="G297" s="54"/>
      <c r="H297" s="54"/>
      <c r="I297" s="54"/>
      <c r="J297" s="54"/>
      <c r="K297" s="54"/>
      <c r="L297" s="54"/>
      <c r="M297" s="54"/>
      <c r="N297" s="54"/>
    </row>
    <row r="298" ht="14.25" customHeight="1">
      <c r="A298" s="54"/>
      <c r="B298" s="54"/>
      <c r="C298" s="54"/>
      <c r="D298" s="54"/>
      <c r="E298" s="54"/>
      <c r="F298" s="54"/>
      <c r="G298" s="54"/>
      <c r="H298" s="54"/>
      <c r="I298" s="54"/>
      <c r="J298" s="54"/>
      <c r="K298" s="54"/>
      <c r="L298" s="54"/>
      <c r="M298" s="54"/>
      <c r="N298" s="54"/>
    </row>
    <row r="299" ht="14.25" customHeight="1">
      <c r="A299" s="54"/>
      <c r="B299" s="54"/>
      <c r="C299" s="54"/>
      <c r="D299" s="54"/>
      <c r="E299" s="54"/>
      <c r="F299" s="54"/>
      <c r="G299" s="54"/>
      <c r="H299" s="54"/>
      <c r="I299" s="54"/>
      <c r="J299" s="54"/>
      <c r="K299" s="54"/>
      <c r="L299" s="54"/>
      <c r="M299" s="54"/>
      <c r="N299" s="54"/>
    </row>
    <row r="300" ht="14.25" customHeight="1">
      <c r="A300" s="54"/>
      <c r="B300" s="54"/>
      <c r="C300" s="54"/>
      <c r="D300" s="54"/>
      <c r="E300" s="54"/>
      <c r="F300" s="54"/>
      <c r="G300" s="54"/>
      <c r="H300" s="54"/>
      <c r="I300" s="54"/>
      <c r="J300" s="54"/>
      <c r="K300" s="54"/>
      <c r="L300" s="54"/>
      <c r="M300" s="54"/>
      <c r="N300" s="54"/>
    </row>
    <row r="301" ht="14.25" customHeight="1">
      <c r="A301" s="54"/>
      <c r="B301" s="54"/>
      <c r="C301" s="54"/>
      <c r="D301" s="54"/>
      <c r="E301" s="54"/>
      <c r="F301" s="54"/>
      <c r="G301" s="54"/>
      <c r="H301" s="54"/>
      <c r="I301" s="54"/>
      <c r="J301" s="54"/>
      <c r="K301" s="54"/>
      <c r="L301" s="54"/>
      <c r="M301" s="54"/>
      <c r="N301" s="54"/>
    </row>
    <row r="302" ht="14.25" customHeight="1">
      <c r="A302" s="54"/>
      <c r="B302" s="54"/>
      <c r="C302" s="54"/>
      <c r="D302" s="54"/>
      <c r="E302" s="54"/>
      <c r="F302" s="54"/>
      <c r="G302" s="54"/>
      <c r="H302" s="54"/>
      <c r="I302" s="54"/>
      <c r="J302" s="54"/>
      <c r="K302" s="54"/>
      <c r="L302" s="54"/>
      <c r="M302" s="54"/>
      <c r="N302" s="54"/>
    </row>
    <row r="303" ht="14.25" customHeight="1">
      <c r="A303" s="54"/>
      <c r="B303" s="54"/>
      <c r="C303" s="54"/>
      <c r="D303" s="54"/>
      <c r="E303" s="54"/>
      <c r="F303" s="54"/>
      <c r="G303" s="54"/>
      <c r="H303" s="54"/>
      <c r="I303" s="54"/>
      <c r="J303" s="54"/>
      <c r="K303" s="54"/>
      <c r="L303" s="54"/>
      <c r="M303" s="54"/>
      <c r="N303" s="54"/>
    </row>
    <row r="304" ht="14.25" customHeight="1">
      <c r="A304" s="54"/>
      <c r="B304" s="54"/>
      <c r="C304" s="54"/>
      <c r="D304" s="54"/>
      <c r="E304" s="54"/>
      <c r="F304" s="54"/>
      <c r="G304" s="54"/>
      <c r="H304" s="54"/>
      <c r="I304" s="54"/>
      <c r="J304" s="54"/>
      <c r="K304" s="54"/>
      <c r="L304" s="54"/>
      <c r="M304" s="54"/>
      <c r="N304" s="54"/>
    </row>
    <row r="305" ht="14.25" customHeight="1">
      <c r="A305" s="54"/>
      <c r="B305" s="54"/>
      <c r="C305" s="54"/>
      <c r="D305" s="54"/>
      <c r="E305" s="54"/>
      <c r="F305" s="54"/>
      <c r="G305" s="54"/>
      <c r="H305" s="54"/>
      <c r="I305" s="54"/>
      <c r="J305" s="54"/>
      <c r="K305" s="54"/>
      <c r="L305" s="54"/>
      <c r="M305" s="54"/>
      <c r="N305" s="54"/>
    </row>
    <row r="306" ht="14.25" customHeight="1">
      <c r="A306" s="54"/>
      <c r="B306" s="54"/>
      <c r="C306" s="54"/>
      <c r="D306" s="54"/>
      <c r="E306" s="54"/>
      <c r="F306" s="54"/>
      <c r="G306" s="54"/>
      <c r="H306" s="54"/>
      <c r="I306" s="54"/>
      <c r="J306" s="54"/>
      <c r="K306" s="54"/>
      <c r="L306" s="54"/>
      <c r="M306" s="54"/>
      <c r="N306" s="54"/>
    </row>
    <row r="307" ht="14.25" customHeight="1">
      <c r="A307" s="54"/>
      <c r="B307" s="54"/>
      <c r="C307" s="54"/>
      <c r="D307" s="54"/>
      <c r="E307" s="54"/>
      <c r="F307" s="54"/>
      <c r="G307" s="54"/>
      <c r="H307" s="54"/>
      <c r="I307" s="54"/>
      <c r="J307" s="54"/>
      <c r="K307" s="54"/>
      <c r="L307" s="54"/>
      <c r="M307" s="54"/>
      <c r="N307" s="54"/>
    </row>
    <row r="308" ht="14.25" customHeight="1">
      <c r="A308" s="54"/>
      <c r="B308" s="54"/>
      <c r="C308" s="54"/>
      <c r="D308" s="54"/>
      <c r="E308" s="54"/>
      <c r="F308" s="54"/>
      <c r="G308" s="54"/>
      <c r="H308" s="54"/>
      <c r="I308" s="54"/>
      <c r="J308" s="54"/>
      <c r="K308" s="54"/>
      <c r="L308" s="54"/>
      <c r="M308" s="54"/>
      <c r="N308" s="54"/>
    </row>
    <row r="309" ht="14.25" customHeight="1">
      <c r="A309" s="54"/>
      <c r="B309" s="54"/>
      <c r="C309" s="54"/>
      <c r="D309" s="54"/>
      <c r="E309" s="54"/>
      <c r="F309" s="54"/>
      <c r="G309" s="54"/>
      <c r="H309" s="54"/>
      <c r="I309" s="54"/>
      <c r="J309" s="54"/>
      <c r="K309" s="54"/>
      <c r="L309" s="54"/>
      <c r="M309" s="54"/>
      <c r="N309" s="54"/>
    </row>
    <row r="310" ht="14.25" customHeight="1">
      <c r="A310" s="54"/>
      <c r="B310" s="54"/>
      <c r="C310" s="54"/>
      <c r="D310" s="54"/>
      <c r="E310" s="54"/>
      <c r="F310" s="54"/>
      <c r="G310" s="54"/>
      <c r="H310" s="54"/>
      <c r="I310" s="54"/>
      <c r="J310" s="54"/>
      <c r="K310" s="54"/>
      <c r="L310" s="54"/>
      <c r="M310" s="54"/>
      <c r="N310" s="54"/>
    </row>
    <row r="311" ht="14.25" customHeight="1">
      <c r="A311" s="54"/>
      <c r="B311" s="54"/>
      <c r="C311" s="54"/>
      <c r="D311" s="54"/>
      <c r="E311" s="54"/>
      <c r="F311" s="54"/>
      <c r="G311" s="54"/>
      <c r="H311" s="54"/>
      <c r="I311" s="54"/>
      <c r="J311" s="54"/>
      <c r="K311" s="54"/>
      <c r="L311" s="54"/>
      <c r="M311" s="54"/>
      <c r="N311" s="54"/>
    </row>
    <row r="312" ht="14.25" customHeight="1">
      <c r="A312" s="54"/>
      <c r="B312" s="54"/>
      <c r="C312" s="54"/>
      <c r="D312" s="54"/>
      <c r="E312" s="54"/>
      <c r="F312" s="54"/>
      <c r="G312" s="54"/>
      <c r="H312" s="54"/>
      <c r="I312" s="54"/>
      <c r="J312" s="54"/>
      <c r="K312" s="54"/>
      <c r="L312" s="54"/>
      <c r="M312" s="54"/>
      <c r="N312" s="54"/>
    </row>
    <row r="313" ht="14.25" customHeight="1">
      <c r="A313" s="54"/>
      <c r="B313" s="54"/>
      <c r="C313" s="54"/>
      <c r="D313" s="54"/>
      <c r="E313" s="54"/>
      <c r="F313" s="54"/>
      <c r="G313" s="54"/>
      <c r="H313" s="54"/>
      <c r="I313" s="54"/>
      <c r="J313" s="54"/>
      <c r="K313" s="54"/>
      <c r="L313" s="54"/>
      <c r="M313" s="54"/>
      <c r="N313" s="54"/>
    </row>
    <row r="314" ht="14.25" customHeight="1">
      <c r="A314" s="54"/>
      <c r="B314" s="54"/>
      <c r="C314" s="54"/>
      <c r="D314" s="54"/>
      <c r="E314" s="54"/>
      <c r="F314" s="54"/>
      <c r="G314" s="54"/>
      <c r="H314" s="54"/>
      <c r="I314" s="54"/>
      <c r="J314" s="54"/>
      <c r="K314" s="54"/>
      <c r="L314" s="54"/>
      <c r="M314" s="54"/>
      <c r="N314" s="54"/>
    </row>
    <row r="315" ht="14.25" customHeight="1">
      <c r="A315" s="54"/>
      <c r="B315" s="54"/>
      <c r="C315" s="54"/>
      <c r="D315" s="54"/>
      <c r="E315" s="54"/>
      <c r="F315" s="54"/>
      <c r="G315" s="54"/>
      <c r="H315" s="54"/>
      <c r="I315" s="54"/>
      <c r="J315" s="54"/>
      <c r="K315" s="54"/>
      <c r="L315" s="54"/>
      <c r="M315" s="54"/>
      <c r="N315" s="54"/>
    </row>
    <row r="316" ht="14.25" customHeight="1">
      <c r="A316" s="54"/>
      <c r="B316" s="54"/>
      <c r="C316" s="54"/>
      <c r="D316" s="54"/>
      <c r="E316" s="54"/>
      <c r="F316" s="54"/>
      <c r="G316" s="54"/>
      <c r="H316" s="54"/>
      <c r="I316" s="54"/>
      <c r="J316" s="54"/>
      <c r="K316" s="54"/>
      <c r="L316" s="54"/>
      <c r="M316" s="54"/>
      <c r="N316" s="54"/>
    </row>
    <row r="317" ht="14.25" customHeight="1">
      <c r="A317" s="54"/>
      <c r="B317" s="54"/>
      <c r="C317" s="54"/>
      <c r="D317" s="54"/>
      <c r="E317" s="54"/>
      <c r="F317" s="54"/>
      <c r="G317" s="54"/>
      <c r="H317" s="54"/>
      <c r="I317" s="54"/>
      <c r="J317" s="54"/>
      <c r="K317" s="54"/>
      <c r="L317" s="54"/>
      <c r="M317" s="54"/>
      <c r="N317" s="54"/>
    </row>
    <row r="318" ht="14.25" customHeight="1">
      <c r="A318" s="54"/>
      <c r="B318" s="54"/>
      <c r="C318" s="54"/>
      <c r="D318" s="54"/>
      <c r="E318" s="54"/>
      <c r="F318" s="54"/>
      <c r="G318" s="54"/>
      <c r="H318" s="54"/>
      <c r="I318" s="54"/>
      <c r="J318" s="54"/>
      <c r="K318" s="54"/>
      <c r="L318" s="54"/>
      <c r="M318" s="54"/>
      <c r="N318" s="54"/>
    </row>
    <row r="319" ht="14.25" customHeight="1">
      <c r="A319" s="54"/>
      <c r="B319" s="54"/>
      <c r="C319" s="54"/>
      <c r="D319" s="54"/>
      <c r="E319" s="54"/>
      <c r="F319" s="54"/>
      <c r="G319" s="54"/>
      <c r="H319" s="54"/>
      <c r="I319" s="54"/>
      <c r="J319" s="54"/>
      <c r="K319" s="54"/>
      <c r="L319" s="54"/>
      <c r="M319" s="54"/>
      <c r="N319" s="54"/>
    </row>
    <row r="320" ht="14.25" customHeight="1">
      <c r="A320" s="54"/>
      <c r="B320" s="54"/>
      <c r="C320" s="54"/>
      <c r="D320" s="54"/>
      <c r="E320" s="54"/>
      <c r="F320" s="54"/>
      <c r="G320" s="54"/>
      <c r="H320" s="54"/>
      <c r="I320" s="54"/>
      <c r="J320" s="54"/>
      <c r="K320" s="54"/>
      <c r="L320" s="54"/>
      <c r="M320" s="54"/>
      <c r="N320" s="54"/>
    </row>
    <row r="321" ht="14.25" customHeight="1">
      <c r="A321" s="54"/>
      <c r="B321" s="54"/>
      <c r="C321" s="54"/>
      <c r="D321" s="54"/>
      <c r="E321" s="54"/>
      <c r="F321" s="54"/>
      <c r="G321" s="54"/>
      <c r="H321" s="54"/>
      <c r="I321" s="54"/>
      <c r="J321" s="54"/>
      <c r="K321" s="54"/>
      <c r="L321" s="54"/>
      <c r="M321" s="54"/>
      <c r="N321" s="54"/>
    </row>
    <row r="322" ht="14.25" customHeight="1">
      <c r="A322" s="54"/>
      <c r="B322" s="54"/>
      <c r="C322" s="54"/>
      <c r="D322" s="54"/>
      <c r="E322" s="54"/>
      <c r="F322" s="54"/>
      <c r="G322" s="54"/>
      <c r="H322" s="54"/>
      <c r="I322" s="54"/>
      <c r="J322" s="54"/>
      <c r="K322" s="54"/>
      <c r="L322" s="54"/>
      <c r="M322" s="54"/>
      <c r="N322" s="54"/>
    </row>
    <row r="323" ht="14.25" customHeight="1">
      <c r="A323" s="54"/>
      <c r="B323" s="54"/>
      <c r="C323" s="54"/>
      <c r="D323" s="54"/>
      <c r="E323" s="54"/>
      <c r="F323" s="54"/>
      <c r="G323" s="54"/>
      <c r="H323" s="54"/>
      <c r="I323" s="54"/>
      <c r="J323" s="54"/>
      <c r="K323" s="54"/>
      <c r="L323" s="54"/>
      <c r="M323" s="54"/>
      <c r="N323" s="54"/>
    </row>
    <row r="324" ht="14.25" customHeight="1">
      <c r="A324" s="54"/>
      <c r="B324" s="54"/>
      <c r="C324" s="54"/>
      <c r="D324" s="54"/>
      <c r="E324" s="54"/>
      <c r="F324" s="54"/>
      <c r="G324" s="54"/>
      <c r="H324" s="54"/>
      <c r="I324" s="54"/>
      <c r="J324" s="54"/>
      <c r="K324" s="54"/>
      <c r="L324" s="54"/>
      <c r="M324" s="54"/>
      <c r="N324" s="54"/>
    </row>
    <row r="325" ht="14.25" customHeight="1">
      <c r="A325" s="54"/>
      <c r="B325" s="54"/>
      <c r="C325" s="54"/>
      <c r="D325" s="54"/>
      <c r="E325" s="54"/>
      <c r="F325" s="54"/>
      <c r="G325" s="54"/>
      <c r="H325" s="54"/>
      <c r="I325" s="54"/>
      <c r="J325" s="54"/>
      <c r="K325" s="54"/>
      <c r="L325" s="54"/>
      <c r="M325" s="54"/>
      <c r="N325" s="54"/>
    </row>
    <row r="326" ht="14.25" customHeight="1">
      <c r="A326" s="54"/>
      <c r="B326" s="54"/>
      <c r="C326" s="54"/>
      <c r="D326" s="54"/>
      <c r="E326" s="54"/>
      <c r="F326" s="54"/>
      <c r="G326" s="54"/>
      <c r="H326" s="54"/>
      <c r="I326" s="54"/>
      <c r="J326" s="54"/>
      <c r="K326" s="54"/>
      <c r="L326" s="54"/>
      <c r="M326" s="54"/>
      <c r="N326" s="54"/>
    </row>
    <row r="327" ht="14.25" customHeight="1">
      <c r="A327" s="54"/>
      <c r="B327" s="54"/>
      <c r="C327" s="54"/>
      <c r="D327" s="54"/>
      <c r="E327" s="54"/>
      <c r="F327" s="54"/>
      <c r="G327" s="54"/>
      <c r="H327" s="54"/>
      <c r="I327" s="54"/>
      <c r="J327" s="54"/>
      <c r="K327" s="54"/>
      <c r="L327" s="54"/>
      <c r="M327" s="54"/>
      <c r="N327" s="54"/>
    </row>
    <row r="328" ht="14.25" customHeight="1">
      <c r="A328" s="54"/>
      <c r="B328" s="54"/>
      <c r="C328" s="54"/>
      <c r="D328" s="54"/>
      <c r="E328" s="54"/>
      <c r="F328" s="54"/>
      <c r="G328" s="54"/>
      <c r="H328" s="54"/>
      <c r="I328" s="54"/>
      <c r="J328" s="54"/>
      <c r="K328" s="54"/>
      <c r="L328" s="54"/>
      <c r="M328" s="54"/>
      <c r="N328" s="54"/>
    </row>
    <row r="329" ht="14.25" customHeight="1">
      <c r="A329" s="54"/>
      <c r="B329" s="54"/>
      <c r="C329" s="54"/>
      <c r="D329" s="54"/>
      <c r="E329" s="54"/>
      <c r="F329" s="54"/>
      <c r="G329" s="54"/>
      <c r="H329" s="54"/>
      <c r="I329" s="54"/>
      <c r="J329" s="54"/>
      <c r="K329" s="54"/>
      <c r="L329" s="54"/>
      <c r="M329" s="54"/>
      <c r="N329" s="54"/>
    </row>
    <row r="330" ht="14.25" customHeight="1">
      <c r="A330" s="54"/>
      <c r="B330" s="54"/>
      <c r="C330" s="54"/>
      <c r="D330" s="54"/>
      <c r="E330" s="54"/>
      <c r="F330" s="54"/>
      <c r="G330" s="54"/>
      <c r="H330" s="54"/>
      <c r="I330" s="54"/>
      <c r="J330" s="54"/>
      <c r="K330" s="54"/>
      <c r="L330" s="54"/>
      <c r="M330" s="54"/>
      <c r="N330" s="54"/>
    </row>
    <row r="331" ht="14.25" customHeight="1">
      <c r="A331" s="54"/>
      <c r="B331" s="54"/>
      <c r="C331" s="54"/>
      <c r="D331" s="54"/>
      <c r="E331" s="54"/>
      <c r="F331" s="54"/>
      <c r="G331" s="54"/>
      <c r="H331" s="54"/>
      <c r="I331" s="54"/>
      <c r="J331" s="54"/>
      <c r="K331" s="54"/>
      <c r="L331" s="54"/>
      <c r="M331" s="54"/>
      <c r="N331" s="54"/>
    </row>
    <row r="332" ht="14.25" customHeight="1">
      <c r="A332" s="54"/>
      <c r="B332" s="54"/>
      <c r="C332" s="54"/>
      <c r="D332" s="54"/>
      <c r="E332" s="54"/>
      <c r="F332" s="54"/>
      <c r="G332" s="54"/>
      <c r="H332" s="54"/>
      <c r="I332" s="54"/>
      <c r="J332" s="54"/>
      <c r="K332" s="54"/>
      <c r="L332" s="54"/>
      <c r="M332" s="54"/>
      <c r="N332" s="54"/>
    </row>
    <row r="333" ht="14.25" customHeight="1">
      <c r="A333" s="54"/>
      <c r="B333" s="54"/>
      <c r="C333" s="54"/>
      <c r="D333" s="54"/>
      <c r="E333" s="54"/>
      <c r="F333" s="54"/>
      <c r="G333" s="54"/>
      <c r="H333" s="54"/>
      <c r="I333" s="54"/>
      <c r="J333" s="54"/>
      <c r="K333" s="54"/>
      <c r="L333" s="54"/>
      <c r="M333" s="54"/>
      <c r="N333" s="54"/>
    </row>
    <row r="334" ht="14.25" customHeight="1">
      <c r="A334" s="54"/>
      <c r="B334" s="54"/>
      <c r="C334" s="54"/>
      <c r="D334" s="54"/>
      <c r="E334" s="54"/>
      <c r="F334" s="54"/>
      <c r="G334" s="54"/>
      <c r="H334" s="54"/>
      <c r="I334" s="54"/>
      <c r="J334" s="54"/>
      <c r="K334" s="54"/>
      <c r="L334" s="54"/>
      <c r="M334" s="54"/>
      <c r="N334" s="54"/>
    </row>
    <row r="335" ht="14.25" customHeight="1">
      <c r="A335" s="54"/>
      <c r="B335" s="54"/>
      <c r="C335" s="54"/>
      <c r="D335" s="54"/>
      <c r="E335" s="54"/>
      <c r="F335" s="54"/>
      <c r="G335" s="54"/>
      <c r="H335" s="54"/>
      <c r="I335" s="54"/>
      <c r="J335" s="54"/>
      <c r="K335" s="54"/>
      <c r="L335" s="54"/>
      <c r="M335" s="54"/>
      <c r="N335" s="54"/>
    </row>
    <row r="336" ht="14.25" customHeight="1">
      <c r="A336" s="54"/>
      <c r="B336" s="54"/>
      <c r="C336" s="54"/>
      <c r="D336" s="54"/>
      <c r="E336" s="54"/>
      <c r="F336" s="54"/>
      <c r="G336" s="54"/>
      <c r="H336" s="54"/>
      <c r="I336" s="54"/>
      <c r="J336" s="54"/>
      <c r="K336" s="54"/>
      <c r="L336" s="54"/>
      <c r="M336" s="54"/>
      <c r="N336" s="54"/>
    </row>
    <row r="337" ht="14.25" customHeight="1">
      <c r="A337" s="54"/>
      <c r="B337" s="54"/>
      <c r="C337" s="54"/>
      <c r="D337" s="54"/>
      <c r="E337" s="54"/>
      <c r="F337" s="54"/>
      <c r="G337" s="54"/>
      <c r="H337" s="54"/>
      <c r="I337" s="54"/>
      <c r="J337" s="54"/>
      <c r="K337" s="54"/>
      <c r="L337" s="54"/>
      <c r="M337" s="54"/>
      <c r="N337" s="54"/>
    </row>
    <row r="338" ht="14.25" customHeight="1">
      <c r="A338" s="54"/>
      <c r="B338" s="54"/>
      <c r="C338" s="54"/>
      <c r="D338" s="54"/>
      <c r="E338" s="54"/>
      <c r="F338" s="54"/>
      <c r="G338" s="54"/>
      <c r="H338" s="54"/>
      <c r="I338" s="54"/>
      <c r="J338" s="54"/>
      <c r="K338" s="54"/>
      <c r="L338" s="54"/>
      <c r="M338" s="54"/>
      <c r="N338" s="54"/>
    </row>
    <row r="339" ht="14.25" customHeight="1">
      <c r="A339" s="54"/>
      <c r="B339" s="54"/>
      <c r="C339" s="54"/>
      <c r="D339" s="54"/>
      <c r="E339" s="54"/>
      <c r="F339" s="54"/>
      <c r="G339" s="54"/>
      <c r="H339" s="54"/>
      <c r="I339" s="54"/>
      <c r="J339" s="54"/>
      <c r="K339" s="54"/>
      <c r="L339" s="54"/>
      <c r="M339" s="54"/>
      <c r="N339" s="54"/>
    </row>
    <row r="340" ht="14.25" customHeight="1">
      <c r="A340" s="54"/>
      <c r="B340" s="54"/>
      <c r="C340" s="54"/>
      <c r="D340" s="54"/>
      <c r="E340" s="54"/>
      <c r="F340" s="54"/>
      <c r="G340" s="54"/>
      <c r="H340" s="54"/>
      <c r="I340" s="54"/>
      <c r="J340" s="54"/>
      <c r="K340" s="54"/>
      <c r="L340" s="54"/>
      <c r="M340" s="54"/>
      <c r="N340" s="54"/>
    </row>
    <row r="341" ht="14.25" customHeight="1">
      <c r="A341" s="54"/>
      <c r="B341" s="54"/>
      <c r="C341" s="54"/>
      <c r="D341" s="54"/>
      <c r="E341" s="54"/>
      <c r="F341" s="54"/>
      <c r="G341" s="54"/>
      <c r="H341" s="54"/>
      <c r="I341" s="54"/>
      <c r="J341" s="54"/>
      <c r="K341" s="54"/>
      <c r="L341" s="54"/>
      <c r="M341" s="54"/>
      <c r="N341" s="54"/>
    </row>
    <row r="342" ht="14.25" customHeight="1">
      <c r="A342" s="54"/>
      <c r="B342" s="54"/>
      <c r="C342" s="54"/>
      <c r="D342" s="54"/>
      <c r="E342" s="54"/>
      <c r="F342" s="54"/>
      <c r="G342" s="54"/>
      <c r="H342" s="54"/>
      <c r="I342" s="54"/>
      <c r="J342" s="54"/>
      <c r="K342" s="54"/>
      <c r="L342" s="54"/>
      <c r="M342" s="54"/>
      <c r="N342" s="54"/>
    </row>
    <row r="343" ht="14.25" customHeight="1">
      <c r="A343" s="54"/>
      <c r="B343" s="54"/>
      <c r="C343" s="54"/>
      <c r="D343" s="54"/>
      <c r="E343" s="54"/>
      <c r="F343" s="54"/>
      <c r="G343" s="54"/>
      <c r="H343" s="54"/>
      <c r="I343" s="54"/>
      <c r="J343" s="54"/>
      <c r="K343" s="54"/>
      <c r="L343" s="54"/>
      <c r="M343" s="54"/>
      <c r="N343" s="54"/>
    </row>
    <row r="344" ht="14.25" customHeight="1">
      <c r="A344" s="54"/>
      <c r="B344" s="54"/>
      <c r="C344" s="54"/>
      <c r="D344" s="54"/>
      <c r="E344" s="54"/>
      <c r="F344" s="54"/>
      <c r="G344" s="54"/>
      <c r="H344" s="54"/>
      <c r="I344" s="54"/>
      <c r="J344" s="54"/>
      <c r="K344" s="54"/>
      <c r="L344" s="54"/>
      <c r="M344" s="54"/>
      <c r="N344" s="54"/>
    </row>
    <row r="345" ht="14.25" customHeight="1">
      <c r="A345" s="54"/>
      <c r="B345" s="54"/>
      <c r="C345" s="54"/>
      <c r="D345" s="54"/>
      <c r="E345" s="54"/>
      <c r="F345" s="54"/>
      <c r="G345" s="54"/>
      <c r="H345" s="54"/>
      <c r="I345" s="54"/>
      <c r="J345" s="54"/>
      <c r="K345" s="54"/>
      <c r="L345" s="54"/>
      <c r="M345" s="54"/>
      <c r="N345" s="54"/>
    </row>
    <row r="346" ht="14.25" customHeight="1">
      <c r="A346" s="54"/>
      <c r="B346" s="54"/>
      <c r="C346" s="54"/>
      <c r="D346" s="54"/>
      <c r="E346" s="54"/>
      <c r="F346" s="54"/>
      <c r="G346" s="54"/>
      <c r="H346" s="54"/>
      <c r="I346" s="54"/>
      <c r="J346" s="54"/>
      <c r="K346" s="54"/>
      <c r="L346" s="54"/>
      <c r="M346" s="54"/>
      <c r="N346" s="54"/>
    </row>
    <row r="347" ht="14.25" customHeight="1">
      <c r="A347" s="54"/>
      <c r="B347" s="54"/>
      <c r="C347" s="54"/>
      <c r="D347" s="54"/>
      <c r="E347" s="54"/>
      <c r="F347" s="54"/>
      <c r="G347" s="54"/>
      <c r="H347" s="54"/>
      <c r="I347" s="54"/>
      <c r="J347" s="54"/>
      <c r="K347" s="54"/>
      <c r="L347" s="54"/>
      <c r="M347" s="54"/>
      <c r="N347" s="54"/>
    </row>
    <row r="348" ht="14.25" customHeight="1">
      <c r="A348" s="54"/>
      <c r="B348" s="54"/>
      <c r="C348" s="54"/>
      <c r="D348" s="54"/>
      <c r="E348" s="54"/>
      <c r="F348" s="54"/>
      <c r="G348" s="54"/>
      <c r="H348" s="54"/>
      <c r="I348" s="54"/>
      <c r="J348" s="54"/>
      <c r="K348" s="54"/>
      <c r="L348" s="54"/>
      <c r="M348" s="54"/>
      <c r="N348" s="54"/>
    </row>
    <row r="349" ht="14.25" customHeight="1">
      <c r="A349" s="54"/>
      <c r="B349" s="54"/>
      <c r="C349" s="54"/>
      <c r="D349" s="54"/>
      <c r="E349" s="54"/>
      <c r="F349" s="54"/>
      <c r="G349" s="54"/>
      <c r="H349" s="54"/>
      <c r="I349" s="54"/>
      <c r="J349" s="54"/>
      <c r="K349" s="54"/>
      <c r="L349" s="54"/>
      <c r="M349" s="54"/>
      <c r="N349" s="54"/>
    </row>
    <row r="350" ht="14.25" customHeight="1">
      <c r="A350" s="54"/>
      <c r="B350" s="54"/>
      <c r="C350" s="54"/>
      <c r="D350" s="54"/>
      <c r="E350" s="54"/>
      <c r="F350" s="54"/>
      <c r="G350" s="54"/>
      <c r="H350" s="54"/>
      <c r="I350" s="54"/>
      <c r="J350" s="54"/>
      <c r="K350" s="54"/>
      <c r="L350" s="54"/>
      <c r="M350" s="54"/>
      <c r="N350" s="54"/>
    </row>
    <row r="351" ht="14.25" customHeight="1">
      <c r="A351" s="54"/>
      <c r="B351" s="54"/>
      <c r="C351" s="54"/>
      <c r="D351" s="54"/>
      <c r="E351" s="54"/>
      <c r="F351" s="54"/>
      <c r="G351" s="54"/>
      <c r="H351" s="54"/>
      <c r="I351" s="54"/>
      <c r="J351" s="54"/>
      <c r="K351" s="54"/>
      <c r="L351" s="54"/>
      <c r="M351" s="54"/>
      <c r="N351" s="54"/>
    </row>
    <row r="352" ht="14.25" customHeight="1">
      <c r="A352" s="54"/>
      <c r="B352" s="54"/>
      <c r="C352" s="54"/>
      <c r="D352" s="54"/>
      <c r="E352" s="54"/>
      <c r="F352" s="54"/>
      <c r="G352" s="54"/>
      <c r="H352" s="54"/>
      <c r="I352" s="54"/>
      <c r="J352" s="54"/>
      <c r="K352" s="54"/>
      <c r="L352" s="54"/>
      <c r="M352" s="54"/>
      <c r="N352" s="54"/>
    </row>
    <row r="353" ht="14.25" customHeight="1">
      <c r="A353" s="54"/>
      <c r="B353" s="54"/>
      <c r="C353" s="54"/>
      <c r="D353" s="54"/>
      <c r="E353" s="54"/>
      <c r="F353" s="54"/>
      <c r="G353" s="54"/>
      <c r="H353" s="54"/>
      <c r="I353" s="54"/>
      <c r="J353" s="54"/>
      <c r="K353" s="54"/>
      <c r="L353" s="54"/>
      <c r="M353" s="54"/>
      <c r="N353" s="54"/>
    </row>
    <row r="354" ht="14.25" customHeight="1">
      <c r="A354" s="54"/>
      <c r="B354" s="54"/>
      <c r="C354" s="54"/>
      <c r="D354" s="54"/>
      <c r="E354" s="54"/>
      <c r="F354" s="54"/>
      <c r="G354" s="54"/>
      <c r="H354" s="54"/>
      <c r="I354" s="54"/>
      <c r="J354" s="54"/>
      <c r="K354" s="54"/>
      <c r="L354" s="54"/>
      <c r="M354" s="54"/>
      <c r="N354" s="54"/>
    </row>
    <row r="355" ht="14.25" customHeight="1">
      <c r="A355" s="54"/>
      <c r="B355" s="54"/>
      <c r="C355" s="54"/>
      <c r="D355" s="54"/>
      <c r="E355" s="54"/>
      <c r="F355" s="54"/>
      <c r="G355" s="54"/>
      <c r="H355" s="54"/>
      <c r="I355" s="54"/>
      <c r="J355" s="54"/>
      <c r="K355" s="54"/>
      <c r="L355" s="54"/>
      <c r="M355" s="54"/>
      <c r="N355" s="54"/>
    </row>
    <row r="356" ht="14.25" customHeight="1">
      <c r="A356" s="54"/>
      <c r="B356" s="54"/>
      <c r="C356" s="54"/>
      <c r="D356" s="54"/>
      <c r="E356" s="54"/>
      <c r="F356" s="54"/>
      <c r="G356" s="54"/>
      <c r="H356" s="54"/>
      <c r="I356" s="54"/>
      <c r="J356" s="54"/>
      <c r="K356" s="54"/>
      <c r="L356" s="54"/>
      <c r="M356" s="54"/>
      <c r="N356" s="54"/>
    </row>
    <row r="357" ht="14.25" customHeight="1">
      <c r="A357" s="54"/>
      <c r="B357" s="54"/>
      <c r="C357" s="54"/>
      <c r="D357" s="54"/>
      <c r="E357" s="54"/>
      <c r="F357" s="54"/>
      <c r="G357" s="54"/>
      <c r="H357" s="54"/>
      <c r="I357" s="54"/>
      <c r="J357" s="54"/>
      <c r="K357" s="54"/>
      <c r="L357" s="54"/>
      <c r="M357" s="54"/>
      <c r="N357" s="54"/>
    </row>
    <row r="358" ht="14.25" customHeight="1">
      <c r="A358" s="54"/>
      <c r="B358" s="54"/>
      <c r="C358" s="54"/>
      <c r="D358" s="54"/>
      <c r="E358" s="54"/>
      <c r="F358" s="54"/>
      <c r="G358" s="54"/>
      <c r="H358" s="54"/>
      <c r="I358" s="54"/>
      <c r="J358" s="54"/>
      <c r="K358" s="54"/>
      <c r="L358" s="54"/>
      <c r="M358" s="54"/>
      <c r="N358" s="54"/>
    </row>
    <row r="359" ht="14.25" customHeight="1">
      <c r="A359" s="54"/>
      <c r="B359" s="54"/>
      <c r="C359" s="54"/>
      <c r="D359" s="54"/>
      <c r="E359" s="54"/>
      <c r="F359" s="54"/>
      <c r="G359" s="54"/>
      <c r="H359" s="54"/>
      <c r="I359" s="54"/>
      <c r="J359" s="54"/>
      <c r="K359" s="54"/>
      <c r="L359" s="54"/>
      <c r="M359" s="54"/>
      <c r="N359" s="54"/>
    </row>
    <row r="360" ht="14.25" customHeight="1">
      <c r="A360" s="54"/>
      <c r="B360" s="54"/>
      <c r="C360" s="54"/>
      <c r="D360" s="54"/>
      <c r="E360" s="54"/>
      <c r="F360" s="54"/>
      <c r="G360" s="54"/>
      <c r="H360" s="54"/>
      <c r="I360" s="54"/>
      <c r="J360" s="54"/>
      <c r="K360" s="54"/>
      <c r="L360" s="54"/>
      <c r="M360" s="54"/>
      <c r="N360" s="54"/>
    </row>
    <row r="361" ht="14.25" customHeight="1">
      <c r="A361" s="54"/>
      <c r="B361" s="54"/>
      <c r="C361" s="54"/>
      <c r="D361" s="54"/>
      <c r="E361" s="54"/>
      <c r="F361" s="54"/>
      <c r="G361" s="54"/>
      <c r="H361" s="54"/>
      <c r="I361" s="54"/>
      <c r="J361" s="54"/>
      <c r="K361" s="54"/>
      <c r="L361" s="54"/>
      <c r="M361" s="54"/>
      <c r="N361" s="54"/>
    </row>
    <row r="362" ht="14.25" customHeight="1">
      <c r="A362" s="54"/>
      <c r="B362" s="54"/>
      <c r="C362" s="54"/>
      <c r="D362" s="54"/>
      <c r="E362" s="54"/>
      <c r="F362" s="54"/>
      <c r="G362" s="54"/>
      <c r="H362" s="54"/>
      <c r="I362" s="54"/>
      <c r="J362" s="54"/>
      <c r="K362" s="54"/>
      <c r="L362" s="54"/>
      <c r="M362" s="54"/>
      <c r="N362" s="54"/>
    </row>
    <row r="363" ht="14.25" customHeight="1">
      <c r="A363" s="54"/>
      <c r="B363" s="54"/>
      <c r="C363" s="54"/>
      <c r="D363" s="54"/>
      <c r="E363" s="54"/>
      <c r="F363" s="54"/>
      <c r="G363" s="54"/>
      <c r="H363" s="54"/>
      <c r="I363" s="54"/>
      <c r="J363" s="54"/>
      <c r="K363" s="54"/>
      <c r="L363" s="54"/>
      <c r="M363" s="54"/>
      <c r="N363" s="54"/>
    </row>
    <row r="364" ht="14.25" customHeight="1">
      <c r="A364" s="54"/>
      <c r="B364" s="54"/>
      <c r="C364" s="54"/>
      <c r="D364" s="54"/>
      <c r="E364" s="54"/>
      <c r="F364" s="54"/>
      <c r="G364" s="54"/>
      <c r="H364" s="54"/>
      <c r="I364" s="54"/>
      <c r="J364" s="54"/>
      <c r="K364" s="54"/>
      <c r="L364" s="54"/>
      <c r="M364" s="54"/>
      <c r="N364" s="54"/>
    </row>
    <row r="365" ht="14.25" customHeight="1">
      <c r="A365" s="54"/>
      <c r="B365" s="54"/>
      <c r="C365" s="54"/>
      <c r="D365" s="54"/>
      <c r="E365" s="54"/>
      <c r="F365" s="54"/>
      <c r="G365" s="54"/>
      <c r="H365" s="54"/>
      <c r="I365" s="54"/>
      <c r="J365" s="54"/>
      <c r="K365" s="54"/>
      <c r="L365" s="54"/>
      <c r="M365" s="54"/>
      <c r="N365" s="54"/>
    </row>
    <row r="366" ht="14.25" customHeight="1">
      <c r="A366" s="54"/>
      <c r="B366" s="54"/>
      <c r="C366" s="54"/>
      <c r="D366" s="54"/>
      <c r="E366" s="54"/>
      <c r="F366" s="54"/>
      <c r="G366" s="54"/>
      <c r="H366" s="54"/>
      <c r="I366" s="54"/>
      <c r="J366" s="54"/>
      <c r="K366" s="54"/>
      <c r="L366" s="54"/>
      <c r="M366" s="54"/>
      <c r="N366" s="54"/>
    </row>
    <row r="367" ht="14.25" customHeight="1">
      <c r="A367" s="54"/>
      <c r="B367" s="54"/>
      <c r="C367" s="54"/>
      <c r="D367" s="54"/>
      <c r="E367" s="54"/>
      <c r="F367" s="54"/>
      <c r="G367" s="54"/>
      <c r="H367" s="54"/>
      <c r="I367" s="54"/>
      <c r="J367" s="54"/>
      <c r="K367" s="54"/>
      <c r="L367" s="54"/>
      <c r="M367" s="54"/>
      <c r="N367" s="54"/>
    </row>
    <row r="368" ht="14.25" customHeight="1">
      <c r="A368" s="54"/>
      <c r="B368" s="54"/>
      <c r="C368" s="54"/>
      <c r="D368" s="54"/>
      <c r="E368" s="54"/>
      <c r="F368" s="54"/>
      <c r="G368" s="54"/>
      <c r="H368" s="54"/>
      <c r="I368" s="54"/>
      <c r="J368" s="54"/>
      <c r="K368" s="54"/>
      <c r="L368" s="54"/>
      <c r="M368" s="54"/>
      <c r="N368" s="54"/>
    </row>
    <row r="369" ht="14.25" customHeight="1">
      <c r="A369" s="54"/>
      <c r="B369" s="54"/>
      <c r="C369" s="54"/>
      <c r="D369" s="54"/>
      <c r="E369" s="54"/>
      <c r="F369" s="54"/>
      <c r="G369" s="54"/>
      <c r="H369" s="54"/>
      <c r="I369" s="54"/>
      <c r="J369" s="54"/>
      <c r="K369" s="54"/>
      <c r="L369" s="54"/>
      <c r="M369" s="54"/>
      <c r="N369" s="54"/>
    </row>
    <row r="370" ht="14.25" customHeight="1">
      <c r="A370" s="54"/>
      <c r="B370" s="54"/>
      <c r="C370" s="54"/>
      <c r="D370" s="54"/>
      <c r="E370" s="54"/>
      <c r="F370" s="54"/>
      <c r="G370" s="54"/>
      <c r="H370" s="54"/>
      <c r="I370" s="54"/>
      <c r="J370" s="54"/>
      <c r="K370" s="54"/>
      <c r="L370" s="54"/>
      <c r="M370" s="54"/>
      <c r="N370" s="54"/>
    </row>
    <row r="371" ht="14.25" customHeight="1">
      <c r="A371" s="54"/>
      <c r="B371" s="54"/>
      <c r="C371" s="54"/>
      <c r="D371" s="54"/>
      <c r="E371" s="54"/>
      <c r="F371" s="54"/>
      <c r="G371" s="54"/>
      <c r="H371" s="54"/>
      <c r="I371" s="54"/>
      <c r="J371" s="54"/>
      <c r="K371" s="54"/>
      <c r="L371" s="54"/>
      <c r="M371" s="54"/>
      <c r="N371" s="54"/>
    </row>
    <row r="372" ht="14.25" customHeight="1">
      <c r="A372" s="54"/>
      <c r="B372" s="54"/>
      <c r="C372" s="54"/>
      <c r="D372" s="54"/>
      <c r="E372" s="54"/>
      <c r="F372" s="54"/>
      <c r="G372" s="54"/>
      <c r="H372" s="54"/>
      <c r="I372" s="54"/>
      <c r="J372" s="54"/>
      <c r="K372" s="54"/>
      <c r="L372" s="54"/>
      <c r="M372" s="54"/>
      <c r="N372" s="54"/>
    </row>
    <row r="373" ht="14.25" customHeight="1">
      <c r="A373" s="54"/>
      <c r="B373" s="54"/>
      <c r="C373" s="54"/>
      <c r="D373" s="54"/>
      <c r="E373" s="54"/>
      <c r="F373" s="54"/>
      <c r="G373" s="54"/>
      <c r="H373" s="54"/>
      <c r="I373" s="54"/>
      <c r="J373" s="54"/>
      <c r="K373" s="54"/>
      <c r="L373" s="54"/>
      <c r="M373" s="54"/>
      <c r="N373" s="54"/>
    </row>
    <row r="374" ht="14.25" customHeight="1">
      <c r="A374" s="54"/>
      <c r="B374" s="54"/>
      <c r="C374" s="54"/>
      <c r="D374" s="54"/>
      <c r="E374" s="54"/>
      <c r="F374" s="54"/>
      <c r="G374" s="54"/>
      <c r="H374" s="54"/>
      <c r="I374" s="54"/>
      <c r="J374" s="54"/>
      <c r="K374" s="54"/>
      <c r="L374" s="54"/>
      <c r="M374" s="54"/>
      <c r="N374" s="54"/>
    </row>
    <row r="375" ht="14.25" customHeight="1">
      <c r="A375" s="54"/>
      <c r="B375" s="54"/>
      <c r="C375" s="54"/>
      <c r="D375" s="54"/>
      <c r="E375" s="54"/>
      <c r="F375" s="54"/>
      <c r="G375" s="54"/>
      <c r="H375" s="54"/>
      <c r="I375" s="54"/>
      <c r="J375" s="54"/>
      <c r="K375" s="54"/>
      <c r="L375" s="54"/>
      <c r="M375" s="54"/>
      <c r="N375" s="54"/>
    </row>
    <row r="376" ht="14.25" customHeight="1">
      <c r="A376" s="54"/>
      <c r="B376" s="54"/>
      <c r="C376" s="54"/>
      <c r="D376" s="54"/>
      <c r="E376" s="54"/>
      <c r="F376" s="54"/>
      <c r="G376" s="54"/>
      <c r="H376" s="54"/>
      <c r="I376" s="54"/>
      <c r="J376" s="54"/>
      <c r="K376" s="54"/>
      <c r="L376" s="54"/>
      <c r="M376" s="54"/>
      <c r="N376" s="54"/>
    </row>
    <row r="377" ht="14.25" customHeight="1">
      <c r="A377" s="54"/>
      <c r="B377" s="54"/>
      <c r="C377" s="54"/>
      <c r="D377" s="54"/>
      <c r="E377" s="54"/>
      <c r="F377" s="54"/>
      <c r="G377" s="54"/>
      <c r="H377" s="54"/>
      <c r="I377" s="54"/>
      <c r="J377" s="54"/>
      <c r="K377" s="54"/>
      <c r="L377" s="54"/>
      <c r="M377" s="54"/>
      <c r="N377" s="54"/>
    </row>
    <row r="378" ht="14.25" customHeight="1">
      <c r="A378" s="54"/>
      <c r="B378" s="54"/>
      <c r="C378" s="54"/>
      <c r="D378" s="54"/>
      <c r="E378" s="54"/>
      <c r="F378" s="54"/>
      <c r="G378" s="54"/>
      <c r="H378" s="54"/>
      <c r="I378" s="54"/>
      <c r="J378" s="54"/>
      <c r="K378" s="54"/>
      <c r="L378" s="54"/>
      <c r="M378" s="54"/>
      <c r="N378" s="54"/>
    </row>
    <row r="379" ht="14.25" customHeight="1">
      <c r="A379" s="54"/>
      <c r="B379" s="54"/>
      <c r="C379" s="54"/>
      <c r="D379" s="54"/>
      <c r="E379" s="54"/>
      <c r="F379" s="54"/>
      <c r="G379" s="54"/>
      <c r="H379" s="54"/>
      <c r="I379" s="54"/>
      <c r="J379" s="54"/>
      <c r="K379" s="54"/>
      <c r="L379" s="54"/>
      <c r="M379" s="54"/>
      <c r="N379" s="54"/>
    </row>
    <row r="380" ht="14.25" customHeight="1">
      <c r="A380" s="54"/>
      <c r="B380" s="54"/>
      <c r="C380" s="54"/>
      <c r="D380" s="54"/>
      <c r="E380" s="54"/>
      <c r="F380" s="54"/>
      <c r="G380" s="54"/>
      <c r="H380" s="54"/>
      <c r="I380" s="54"/>
      <c r="J380" s="54"/>
      <c r="K380" s="54"/>
      <c r="L380" s="54"/>
      <c r="M380" s="54"/>
      <c r="N380" s="54"/>
    </row>
    <row r="381" ht="14.25" customHeight="1">
      <c r="A381" s="54"/>
      <c r="B381" s="54"/>
      <c r="C381" s="54"/>
      <c r="D381" s="54"/>
      <c r="E381" s="54"/>
      <c r="F381" s="54"/>
      <c r="G381" s="54"/>
      <c r="H381" s="54"/>
      <c r="I381" s="54"/>
      <c r="J381" s="54"/>
      <c r="K381" s="54"/>
      <c r="L381" s="54"/>
      <c r="M381" s="54"/>
      <c r="N381" s="54"/>
    </row>
    <row r="382" ht="14.25" customHeight="1">
      <c r="A382" s="54"/>
      <c r="B382" s="54"/>
      <c r="C382" s="54"/>
      <c r="D382" s="54"/>
      <c r="E382" s="54"/>
      <c r="F382" s="54"/>
      <c r="G382" s="54"/>
      <c r="H382" s="54"/>
      <c r="I382" s="54"/>
      <c r="J382" s="54"/>
      <c r="K382" s="54"/>
      <c r="L382" s="54"/>
      <c r="M382" s="54"/>
      <c r="N382" s="54"/>
    </row>
    <row r="383" ht="14.25" customHeight="1">
      <c r="A383" s="54"/>
      <c r="B383" s="54"/>
      <c r="C383" s="54"/>
      <c r="D383" s="54"/>
      <c r="E383" s="54"/>
      <c r="F383" s="54"/>
      <c r="G383" s="54"/>
      <c r="H383" s="54"/>
      <c r="I383" s="54"/>
      <c r="J383" s="54"/>
      <c r="K383" s="54"/>
      <c r="L383" s="54"/>
      <c r="M383" s="54"/>
      <c r="N383" s="54"/>
    </row>
    <row r="384" ht="14.25" customHeight="1">
      <c r="A384" s="54"/>
      <c r="B384" s="54"/>
      <c r="C384" s="54"/>
      <c r="D384" s="54"/>
      <c r="E384" s="54"/>
      <c r="F384" s="54"/>
      <c r="G384" s="54"/>
      <c r="H384" s="54"/>
      <c r="I384" s="54"/>
      <c r="J384" s="54"/>
      <c r="K384" s="54"/>
      <c r="L384" s="54"/>
      <c r="M384" s="54"/>
      <c r="N384" s="54"/>
    </row>
    <row r="385" ht="14.25" customHeight="1">
      <c r="A385" s="54"/>
      <c r="B385" s="54"/>
      <c r="C385" s="54"/>
      <c r="D385" s="54"/>
      <c r="E385" s="54"/>
      <c r="F385" s="54"/>
      <c r="G385" s="54"/>
      <c r="H385" s="54"/>
      <c r="I385" s="54"/>
      <c r="J385" s="54"/>
      <c r="K385" s="54"/>
      <c r="L385" s="54"/>
      <c r="M385" s="54"/>
      <c r="N385" s="54"/>
    </row>
    <row r="386" ht="14.25" customHeight="1">
      <c r="A386" s="54"/>
      <c r="B386" s="54"/>
      <c r="C386" s="54"/>
      <c r="D386" s="54"/>
      <c r="E386" s="54"/>
      <c r="F386" s="54"/>
      <c r="G386" s="54"/>
      <c r="H386" s="54"/>
      <c r="I386" s="54"/>
      <c r="J386" s="54"/>
      <c r="K386" s="54"/>
      <c r="L386" s="54"/>
      <c r="M386" s="54"/>
      <c r="N386" s="54"/>
    </row>
    <row r="387" ht="14.25" customHeight="1">
      <c r="A387" s="54"/>
      <c r="B387" s="54"/>
      <c r="C387" s="54"/>
      <c r="D387" s="54"/>
      <c r="E387" s="54"/>
      <c r="F387" s="54"/>
      <c r="G387" s="54"/>
      <c r="H387" s="54"/>
      <c r="I387" s="54"/>
      <c r="J387" s="54"/>
      <c r="K387" s="54"/>
      <c r="L387" s="54"/>
      <c r="M387" s="54"/>
      <c r="N387" s="54"/>
    </row>
    <row r="388" ht="14.25" customHeight="1">
      <c r="A388" s="54"/>
      <c r="B388" s="54"/>
      <c r="C388" s="54"/>
      <c r="D388" s="54"/>
      <c r="E388" s="54"/>
      <c r="F388" s="54"/>
      <c r="G388" s="54"/>
      <c r="H388" s="54"/>
      <c r="I388" s="54"/>
      <c r="J388" s="54"/>
      <c r="K388" s="54"/>
      <c r="L388" s="54"/>
      <c r="M388" s="54"/>
      <c r="N388" s="54"/>
    </row>
    <row r="389" ht="14.25" customHeight="1">
      <c r="A389" s="54"/>
      <c r="B389" s="54"/>
      <c r="C389" s="54"/>
      <c r="D389" s="54"/>
      <c r="E389" s="54"/>
      <c r="F389" s="54"/>
      <c r="G389" s="54"/>
      <c r="H389" s="54"/>
      <c r="I389" s="54"/>
      <c r="J389" s="54"/>
      <c r="K389" s="54"/>
      <c r="L389" s="54"/>
      <c r="M389" s="54"/>
      <c r="N389" s="54"/>
    </row>
    <row r="390" ht="14.25" customHeight="1">
      <c r="A390" s="54"/>
      <c r="B390" s="54"/>
      <c r="C390" s="54"/>
      <c r="D390" s="54"/>
      <c r="E390" s="54"/>
      <c r="F390" s="54"/>
      <c r="G390" s="54"/>
      <c r="H390" s="54"/>
      <c r="I390" s="54"/>
      <c r="J390" s="54"/>
      <c r="K390" s="54"/>
      <c r="L390" s="54"/>
      <c r="M390" s="54"/>
      <c r="N390" s="54"/>
    </row>
    <row r="391" ht="14.25" customHeight="1">
      <c r="A391" s="54"/>
      <c r="B391" s="54"/>
      <c r="C391" s="54"/>
      <c r="D391" s="54"/>
      <c r="E391" s="54"/>
      <c r="F391" s="54"/>
      <c r="G391" s="54"/>
      <c r="H391" s="54"/>
      <c r="I391" s="54"/>
      <c r="J391" s="54"/>
      <c r="K391" s="54"/>
      <c r="L391" s="54"/>
      <c r="M391" s="54"/>
      <c r="N391" s="54"/>
    </row>
    <row r="392" ht="14.25" customHeight="1">
      <c r="A392" s="54"/>
      <c r="B392" s="54"/>
      <c r="C392" s="54"/>
      <c r="D392" s="54"/>
      <c r="E392" s="54"/>
      <c r="F392" s="54"/>
      <c r="G392" s="54"/>
      <c r="H392" s="54"/>
      <c r="I392" s="54"/>
      <c r="J392" s="54"/>
      <c r="K392" s="54"/>
      <c r="L392" s="54"/>
      <c r="M392" s="54"/>
      <c r="N392" s="54"/>
    </row>
    <row r="393" ht="14.25" customHeight="1">
      <c r="A393" s="54"/>
      <c r="B393" s="54"/>
      <c r="C393" s="54"/>
      <c r="D393" s="54"/>
      <c r="E393" s="54"/>
      <c r="F393" s="54"/>
      <c r="G393" s="54"/>
      <c r="H393" s="54"/>
      <c r="I393" s="54"/>
      <c r="J393" s="54"/>
      <c r="K393" s="54"/>
      <c r="L393" s="54"/>
      <c r="M393" s="54"/>
      <c r="N393" s="54"/>
    </row>
    <row r="394" ht="14.25" customHeight="1">
      <c r="A394" s="54"/>
      <c r="B394" s="54"/>
      <c r="C394" s="54"/>
      <c r="D394" s="54"/>
      <c r="E394" s="54"/>
      <c r="F394" s="54"/>
      <c r="G394" s="54"/>
      <c r="H394" s="54"/>
      <c r="I394" s="54"/>
      <c r="J394" s="54"/>
      <c r="K394" s="54"/>
      <c r="L394" s="54"/>
      <c r="M394" s="54"/>
      <c r="N394" s="54"/>
    </row>
    <row r="395" ht="14.25" customHeight="1">
      <c r="A395" s="54"/>
      <c r="B395" s="54"/>
      <c r="C395" s="54"/>
      <c r="D395" s="54"/>
      <c r="E395" s="54"/>
      <c r="F395" s="54"/>
      <c r="G395" s="54"/>
      <c r="H395" s="54"/>
      <c r="I395" s="54"/>
      <c r="J395" s="54"/>
      <c r="K395" s="54"/>
      <c r="L395" s="54"/>
      <c r="M395" s="54"/>
      <c r="N395" s="54"/>
    </row>
    <row r="396" ht="14.25" customHeight="1">
      <c r="A396" s="54"/>
      <c r="B396" s="54"/>
      <c r="C396" s="54"/>
      <c r="D396" s="54"/>
      <c r="E396" s="54"/>
      <c r="F396" s="54"/>
      <c r="G396" s="54"/>
      <c r="H396" s="54"/>
      <c r="I396" s="54"/>
      <c r="J396" s="54"/>
      <c r="K396" s="54"/>
      <c r="L396" s="54"/>
      <c r="M396" s="54"/>
      <c r="N396" s="54"/>
    </row>
    <row r="397" ht="14.25" customHeight="1">
      <c r="A397" s="54"/>
      <c r="B397" s="54"/>
      <c r="C397" s="54"/>
      <c r="D397" s="54"/>
      <c r="E397" s="54"/>
      <c r="F397" s="54"/>
      <c r="G397" s="54"/>
      <c r="H397" s="54"/>
      <c r="I397" s="54"/>
      <c r="J397" s="54"/>
      <c r="K397" s="54"/>
      <c r="L397" s="54"/>
      <c r="M397" s="54"/>
      <c r="N397" s="54"/>
    </row>
    <row r="398" ht="14.25" customHeight="1">
      <c r="A398" s="54"/>
      <c r="B398" s="54"/>
      <c r="C398" s="54"/>
      <c r="D398" s="54"/>
      <c r="E398" s="54"/>
      <c r="F398" s="54"/>
      <c r="G398" s="54"/>
      <c r="H398" s="54"/>
      <c r="I398" s="54"/>
      <c r="J398" s="54"/>
      <c r="K398" s="54"/>
      <c r="L398" s="54"/>
      <c r="M398" s="54"/>
      <c r="N398" s="54"/>
    </row>
    <row r="399" ht="14.25" customHeight="1">
      <c r="A399" s="54"/>
      <c r="B399" s="54"/>
      <c r="C399" s="54"/>
      <c r="D399" s="54"/>
      <c r="E399" s="54"/>
      <c r="F399" s="54"/>
      <c r="G399" s="54"/>
      <c r="H399" s="54"/>
      <c r="I399" s="54"/>
      <c r="J399" s="54"/>
      <c r="K399" s="54"/>
      <c r="L399" s="54"/>
      <c r="M399" s="54"/>
      <c r="N399" s="54"/>
    </row>
    <row r="400" ht="14.25" customHeight="1">
      <c r="A400" s="54"/>
      <c r="B400" s="54"/>
      <c r="C400" s="54"/>
      <c r="D400" s="54"/>
      <c r="E400" s="54"/>
      <c r="F400" s="54"/>
      <c r="G400" s="54"/>
      <c r="H400" s="54"/>
      <c r="I400" s="54"/>
      <c r="J400" s="54"/>
      <c r="K400" s="54"/>
      <c r="L400" s="54"/>
      <c r="M400" s="54"/>
      <c r="N400" s="54"/>
    </row>
    <row r="401" ht="14.25" customHeight="1">
      <c r="A401" s="54"/>
      <c r="B401" s="54"/>
      <c r="C401" s="54"/>
      <c r="D401" s="54"/>
      <c r="E401" s="54"/>
      <c r="F401" s="54"/>
      <c r="G401" s="54"/>
      <c r="H401" s="54"/>
      <c r="I401" s="54"/>
      <c r="J401" s="54"/>
      <c r="K401" s="54"/>
      <c r="L401" s="54"/>
      <c r="M401" s="54"/>
      <c r="N401" s="54"/>
    </row>
    <row r="402" ht="14.25" customHeight="1">
      <c r="A402" s="54"/>
      <c r="B402" s="54"/>
      <c r="C402" s="54"/>
      <c r="D402" s="54"/>
      <c r="E402" s="54"/>
      <c r="F402" s="54"/>
      <c r="G402" s="54"/>
      <c r="H402" s="54"/>
      <c r="I402" s="54"/>
      <c r="J402" s="54"/>
      <c r="K402" s="54"/>
      <c r="L402" s="54"/>
      <c r="M402" s="54"/>
      <c r="N402" s="54"/>
    </row>
    <row r="403" ht="14.25" customHeight="1">
      <c r="A403" s="54"/>
      <c r="B403" s="54"/>
      <c r="C403" s="54"/>
      <c r="D403" s="54"/>
      <c r="E403" s="54"/>
      <c r="F403" s="54"/>
      <c r="G403" s="54"/>
      <c r="H403" s="54"/>
      <c r="I403" s="54"/>
      <c r="J403" s="54"/>
      <c r="K403" s="54"/>
      <c r="L403" s="54"/>
      <c r="M403" s="54"/>
      <c r="N403" s="54"/>
    </row>
    <row r="404" ht="14.25" customHeight="1">
      <c r="A404" s="54"/>
      <c r="B404" s="54"/>
      <c r="C404" s="54"/>
      <c r="D404" s="54"/>
      <c r="E404" s="54"/>
      <c r="F404" s="54"/>
      <c r="G404" s="54"/>
      <c r="H404" s="54"/>
      <c r="I404" s="54"/>
      <c r="J404" s="54"/>
      <c r="K404" s="54"/>
      <c r="L404" s="54"/>
      <c r="M404" s="54"/>
      <c r="N404" s="54"/>
    </row>
    <row r="405" ht="14.25" customHeight="1">
      <c r="A405" s="54"/>
      <c r="B405" s="54"/>
      <c r="C405" s="54"/>
      <c r="D405" s="54"/>
      <c r="E405" s="54"/>
      <c r="F405" s="54"/>
      <c r="G405" s="54"/>
      <c r="H405" s="54"/>
      <c r="I405" s="54"/>
      <c r="J405" s="54"/>
      <c r="K405" s="54"/>
      <c r="L405" s="54"/>
      <c r="M405" s="54"/>
      <c r="N405" s="54"/>
    </row>
    <row r="406" ht="14.25" customHeight="1">
      <c r="A406" s="54"/>
      <c r="B406" s="54"/>
      <c r="C406" s="54"/>
      <c r="D406" s="54"/>
      <c r="E406" s="54"/>
      <c r="F406" s="54"/>
      <c r="G406" s="54"/>
      <c r="H406" s="54"/>
      <c r="I406" s="54"/>
      <c r="J406" s="54"/>
      <c r="K406" s="54"/>
      <c r="L406" s="54"/>
      <c r="M406" s="54"/>
      <c r="N406" s="54"/>
    </row>
    <row r="407" ht="14.25" customHeight="1">
      <c r="A407" s="54"/>
      <c r="B407" s="54"/>
      <c r="C407" s="54"/>
      <c r="D407" s="54"/>
      <c r="E407" s="54"/>
      <c r="F407" s="54"/>
      <c r="G407" s="54"/>
      <c r="H407" s="54"/>
      <c r="I407" s="54"/>
      <c r="J407" s="54"/>
      <c r="K407" s="54"/>
      <c r="L407" s="54"/>
      <c r="M407" s="54"/>
      <c r="N407" s="54"/>
    </row>
    <row r="408" ht="14.25" customHeight="1">
      <c r="A408" s="54"/>
      <c r="B408" s="54"/>
      <c r="C408" s="54"/>
      <c r="D408" s="54"/>
      <c r="E408" s="54"/>
      <c r="F408" s="54"/>
      <c r="G408" s="54"/>
      <c r="H408" s="54"/>
      <c r="I408" s="54"/>
      <c r="J408" s="54"/>
      <c r="K408" s="54"/>
      <c r="L408" s="54"/>
      <c r="M408" s="54"/>
      <c r="N408" s="54"/>
    </row>
    <row r="409" ht="14.25" customHeight="1">
      <c r="A409" s="54"/>
      <c r="B409" s="54"/>
      <c r="C409" s="54"/>
      <c r="D409" s="54"/>
      <c r="E409" s="54"/>
      <c r="F409" s="54"/>
      <c r="G409" s="54"/>
      <c r="H409" s="54"/>
      <c r="I409" s="54"/>
      <c r="J409" s="54"/>
      <c r="K409" s="54"/>
      <c r="L409" s="54"/>
      <c r="M409" s="54"/>
      <c r="N409" s="54"/>
    </row>
    <row r="410" ht="14.25" customHeight="1">
      <c r="A410" s="54"/>
      <c r="B410" s="54"/>
      <c r="C410" s="54"/>
      <c r="D410" s="54"/>
      <c r="E410" s="54"/>
      <c r="F410" s="54"/>
      <c r="G410" s="54"/>
      <c r="H410" s="54"/>
      <c r="I410" s="54"/>
      <c r="J410" s="54"/>
      <c r="K410" s="54"/>
      <c r="L410" s="54"/>
      <c r="M410" s="54"/>
      <c r="N410" s="54"/>
    </row>
    <row r="411" ht="14.25" customHeight="1">
      <c r="A411" s="54"/>
      <c r="B411" s="54"/>
      <c r="C411" s="54"/>
      <c r="D411" s="54"/>
      <c r="E411" s="54"/>
      <c r="F411" s="54"/>
      <c r="G411" s="54"/>
      <c r="H411" s="54"/>
      <c r="I411" s="54"/>
      <c r="J411" s="54"/>
      <c r="K411" s="54"/>
      <c r="L411" s="54"/>
      <c r="M411" s="54"/>
      <c r="N411" s="54"/>
    </row>
    <row r="412" ht="14.25" customHeight="1">
      <c r="A412" s="54"/>
      <c r="B412" s="54"/>
      <c r="C412" s="54"/>
      <c r="D412" s="54"/>
      <c r="E412" s="54"/>
      <c r="F412" s="54"/>
      <c r="G412" s="54"/>
      <c r="H412" s="54"/>
      <c r="I412" s="54"/>
      <c r="J412" s="54"/>
      <c r="K412" s="54"/>
      <c r="L412" s="54"/>
      <c r="M412" s="54"/>
      <c r="N412" s="54"/>
    </row>
    <row r="413" ht="14.25" customHeight="1">
      <c r="A413" s="54"/>
      <c r="B413" s="54"/>
      <c r="C413" s="54"/>
      <c r="D413" s="54"/>
      <c r="E413" s="54"/>
      <c r="F413" s="54"/>
      <c r="G413" s="54"/>
      <c r="H413" s="54"/>
      <c r="I413" s="54"/>
      <c r="J413" s="54"/>
      <c r="K413" s="54"/>
      <c r="L413" s="54"/>
      <c r="M413" s="54"/>
      <c r="N413" s="54"/>
    </row>
    <row r="414" ht="14.25" customHeight="1">
      <c r="A414" s="54"/>
      <c r="B414" s="54"/>
      <c r="C414" s="54"/>
      <c r="D414" s="54"/>
      <c r="E414" s="54"/>
      <c r="F414" s="54"/>
      <c r="G414" s="54"/>
      <c r="H414" s="54"/>
      <c r="I414" s="54"/>
      <c r="J414" s="54"/>
      <c r="K414" s="54"/>
      <c r="L414" s="54"/>
      <c r="M414" s="54"/>
      <c r="N414" s="54"/>
    </row>
    <row r="415" ht="14.25" customHeight="1">
      <c r="A415" s="54"/>
      <c r="B415" s="54"/>
      <c r="C415" s="54"/>
      <c r="D415" s="54"/>
      <c r="E415" s="54"/>
      <c r="F415" s="54"/>
      <c r="G415" s="54"/>
      <c r="H415" s="54"/>
      <c r="I415" s="54"/>
      <c r="J415" s="54"/>
      <c r="K415" s="54"/>
      <c r="L415" s="54"/>
      <c r="M415" s="54"/>
      <c r="N415" s="54"/>
    </row>
    <row r="416" ht="14.25" customHeight="1">
      <c r="A416" s="54"/>
      <c r="B416" s="54"/>
      <c r="C416" s="54"/>
      <c r="D416" s="54"/>
      <c r="E416" s="54"/>
      <c r="F416" s="54"/>
      <c r="G416" s="54"/>
      <c r="H416" s="54"/>
      <c r="I416" s="54"/>
      <c r="J416" s="54"/>
      <c r="K416" s="54"/>
      <c r="L416" s="54"/>
      <c r="M416" s="54"/>
      <c r="N416" s="54"/>
    </row>
    <row r="417" ht="14.25" customHeight="1">
      <c r="A417" s="54"/>
      <c r="B417" s="54"/>
      <c r="C417" s="54"/>
      <c r="D417" s="54"/>
      <c r="E417" s="54"/>
      <c r="F417" s="54"/>
      <c r="G417" s="54"/>
      <c r="H417" s="54"/>
      <c r="I417" s="54"/>
      <c r="J417" s="54"/>
      <c r="K417" s="54"/>
      <c r="L417" s="54"/>
      <c r="M417" s="54"/>
      <c r="N417" s="54"/>
    </row>
    <row r="418" ht="14.25" customHeight="1">
      <c r="A418" s="54"/>
      <c r="B418" s="54"/>
      <c r="C418" s="54"/>
      <c r="D418" s="54"/>
      <c r="E418" s="54"/>
      <c r="F418" s="54"/>
      <c r="G418" s="54"/>
      <c r="H418" s="54"/>
      <c r="I418" s="54"/>
      <c r="J418" s="54"/>
      <c r="K418" s="54"/>
      <c r="L418" s="54"/>
      <c r="M418" s="54"/>
      <c r="N418" s="54"/>
    </row>
    <row r="419" ht="14.25" customHeight="1">
      <c r="A419" s="54"/>
      <c r="B419" s="54"/>
      <c r="C419" s="54"/>
      <c r="D419" s="54"/>
      <c r="E419" s="54"/>
      <c r="F419" s="54"/>
      <c r="G419" s="54"/>
      <c r="H419" s="54"/>
      <c r="I419" s="54"/>
      <c r="J419" s="54"/>
      <c r="K419" s="54"/>
      <c r="L419" s="54"/>
      <c r="M419" s="54"/>
      <c r="N419" s="54"/>
    </row>
    <row r="420" ht="14.25" customHeight="1">
      <c r="A420" s="54"/>
      <c r="B420" s="54"/>
      <c r="C420" s="54"/>
      <c r="D420" s="54"/>
      <c r="E420" s="54"/>
      <c r="F420" s="54"/>
      <c r="G420" s="54"/>
      <c r="H420" s="54"/>
      <c r="I420" s="54"/>
      <c r="J420" s="54"/>
      <c r="K420" s="54"/>
      <c r="L420" s="54"/>
      <c r="M420" s="54"/>
      <c r="N420" s="54"/>
    </row>
    <row r="421" ht="14.25" customHeight="1">
      <c r="A421" s="54"/>
      <c r="B421" s="54"/>
      <c r="C421" s="54"/>
      <c r="D421" s="54"/>
      <c r="E421" s="54"/>
      <c r="F421" s="54"/>
      <c r="G421" s="54"/>
      <c r="H421" s="54"/>
      <c r="I421" s="54"/>
      <c r="J421" s="54"/>
      <c r="K421" s="54"/>
      <c r="L421" s="54"/>
      <c r="M421" s="54"/>
      <c r="N421" s="54"/>
    </row>
    <row r="422" ht="14.25" customHeight="1">
      <c r="A422" s="54"/>
      <c r="B422" s="54"/>
      <c r="C422" s="54"/>
      <c r="D422" s="54"/>
      <c r="E422" s="54"/>
      <c r="F422" s="54"/>
      <c r="G422" s="54"/>
      <c r="H422" s="54"/>
      <c r="I422" s="54"/>
      <c r="J422" s="54"/>
      <c r="K422" s="54"/>
      <c r="L422" s="54"/>
      <c r="M422" s="54"/>
      <c r="N422" s="54"/>
    </row>
    <row r="423" ht="14.25" customHeight="1">
      <c r="A423" s="54"/>
      <c r="B423" s="54"/>
      <c r="C423" s="54"/>
      <c r="D423" s="54"/>
      <c r="E423" s="54"/>
      <c r="F423" s="54"/>
      <c r="G423" s="54"/>
      <c r="H423" s="54"/>
      <c r="I423" s="54"/>
      <c r="J423" s="54"/>
      <c r="K423" s="54"/>
      <c r="L423" s="54"/>
      <c r="M423" s="54"/>
      <c r="N423" s="54"/>
    </row>
    <row r="424" ht="14.25" customHeight="1">
      <c r="A424" s="54"/>
      <c r="B424" s="54"/>
      <c r="C424" s="54"/>
      <c r="D424" s="54"/>
      <c r="E424" s="54"/>
      <c r="F424" s="54"/>
      <c r="G424" s="54"/>
      <c r="H424" s="54"/>
      <c r="I424" s="54"/>
      <c r="J424" s="54"/>
      <c r="K424" s="54"/>
      <c r="L424" s="54"/>
      <c r="M424" s="54"/>
      <c r="N424" s="54"/>
    </row>
    <row r="425" ht="14.25" customHeight="1">
      <c r="A425" s="54"/>
      <c r="B425" s="54"/>
      <c r="C425" s="54"/>
      <c r="D425" s="54"/>
      <c r="E425" s="54"/>
      <c r="F425" s="54"/>
      <c r="G425" s="54"/>
      <c r="H425" s="54"/>
      <c r="I425" s="54"/>
      <c r="J425" s="54"/>
      <c r="K425" s="54"/>
      <c r="L425" s="54"/>
      <c r="M425" s="54"/>
      <c r="N425" s="54"/>
    </row>
    <row r="426" ht="14.25" customHeight="1">
      <c r="A426" s="54"/>
      <c r="B426" s="54"/>
      <c r="C426" s="54"/>
      <c r="D426" s="54"/>
      <c r="E426" s="54"/>
      <c r="F426" s="54"/>
      <c r="G426" s="54"/>
      <c r="H426" s="54"/>
      <c r="I426" s="54"/>
      <c r="J426" s="54"/>
      <c r="K426" s="54"/>
      <c r="L426" s="54"/>
      <c r="M426" s="54"/>
      <c r="N426" s="54"/>
    </row>
    <row r="427" ht="14.25" customHeight="1">
      <c r="A427" s="54"/>
      <c r="B427" s="54"/>
      <c r="C427" s="54"/>
      <c r="D427" s="54"/>
      <c r="E427" s="54"/>
      <c r="F427" s="54"/>
      <c r="G427" s="54"/>
      <c r="H427" s="54"/>
      <c r="I427" s="54"/>
      <c r="J427" s="54"/>
      <c r="K427" s="54"/>
      <c r="L427" s="54"/>
      <c r="M427" s="54"/>
      <c r="N427" s="54"/>
    </row>
    <row r="428" ht="14.25" customHeight="1">
      <c r="A428" s="54"/>
      <c r="B428" s="54"/>
      <c r="C428" s="54"/>
      <c r="D428" s="54"/>
      <c r="E428" s="54"/>
      <c r="F428" s="54"/>
      <c r="G428" s="54"/>
      <c r="H428" s="54"/>
      <c r="I428" s="54"/>
      <c r="J428" s="54"/>
      <c r="K428" s="54"/>
      <c r="L428" s="54"/>
      <c r="M428" s="54"/>
      <c r="N428" s="54"/>
    </row>
    <row r="429" ht="14.25" customHeight="1">
      <c r="A429" s="54"/>
      <c r="B429" s="54"/>
      <c r="C429" s="54"/>
      <c r="D429" s="54"/>
      <c r="E429" s="54"/>
      <c r="F429" s="54"/>
      <c r="G429" s="54"/>
      <c r="H429" s="54"/>
      <c r="I429" s="54"/>
      <c r="J429" s="54"/>
      <c r="K429" s="54"/>
      <c r="L429" s="54"/>
      <c r="M429" s="54"/>
      <c r="N429" s="54"/>
    </row>
    <row r="430" ht="14.25" customHeight="1">
      <c r="A430" s="54"/>
      <c r="B430" s="54"/>
      <c r="C430" s="54"/>
      <c r="D430" s="54"/>
      <c r="E430" s="54"/>
      <c r="F430" s="54"/>
      <c r="G430" s="54"/>
      <c r="H430" s="54"/>
      <c r="I430" s="54"/>
      <c r="J430" s="54"/>
      <c r="K430" s="54"/>
      <c r="L430" s="54"/>
      <c r="M430" s="54"/>
      <c r="N430" s="54"/>
    </row>
    <row r="431" ht="14.25" customHeight="1">
      <c r="A431" s="54"/>
      <c r="B431" s="54"/>
      <c r="C431" s="54"/>
      <c r="D431" s="54"/>
      <c r="E431" s="54"/>
      <c r="F431" s="54"/>
      <c r="G431" s="54"/>
      <c r="H431" s="54"/>
      <c r="I431" s="54"/>
      <c r="J431" s="54"/>
      <c r="K431" s="54"/>
      <c r="L431" s="54"/>
      <c r="M431" s="54"/>
      <c r="N431" s="54"/>
    </row>
    <row r="432" ht="14.25" customHeight="1">
      <c r="A432" s="54"/>
      <c r="B432" s="54"/>
      <c r="C432" s="54"/>
      <c r="D432" s="54"/>
      <c r="E432" s="54"/>
      <c r="F432" s="54"/>
      <c r="G432" s="54"/>
      <c r="H432" s="54"/>
      <c r="I432" s="54"/>
      <c r="J432" s="54"/>
      <c r="K432" s="54"/>
      <c r="L432" s="54"/>
      <c r="M432" s="54"/>
      <c r="N432" s="54"/>
    </row>
    <row r="433" ht="14.25" customHeight="1">
      <c r="A433" s="54"/>
      <c r="B433" s="54"/>
      <c r="C433" s="54"/>
      <c r="D433" s="54"/>
      <c r="E433" s="54"/>
      <c r="F433" s="54"/>
      <c r="G433" s="54"/>
      <c r="H433" s="54"/>
      <c r="I433" s="54"/>
      <c r="J433" s="54"/>
      <c r="K433" s="54"/>
      <c r="L433" s="54"/>
      <c r="M433" s="54"/>
      <c r="N433" s="54"/>
    </row>
    <row r="434" ht="14.25" customHeight="1">
      <c r="A434" s="54"/>
      <c r="B434" s="54"/>
      <c r="C434" s="54"/>
      <c r="D434" s="54"/>
      <c r="E434" s="54"/>
      <c r="F434" s="54"/>
      <c r="G434" s="54"/>
      <c r="H434" s="54"/>
      <c r="I434" s="54"/>
      <c r="J434" s="54"/>
      <c r="K434" s="54"/>
      <c r="L434" s="54"/>
      <c r="M434" s="54"/>
      <c r="N434" s="54"/>
    </row>
    <row r="435" ht="14.25" customHeight="1">
      <c r="A435" s="54"/>
      <c r="B435" s="54"/>
      <c r="C435" s="54"/>
      <c r="D435" s="54"/>
      <c r="E435" s="54"/>
      <c r="F435" s="54"/>
      <c r="G435" s="54"/>
      <c r="H435" s="54"/>
      <c r="I435" s="54"/>
      <c r="J435" s="54"/>
      <c r="K435" s="54"/>
      <c r="L435" s="54"/>
      <c r="M435" s="54"/>
      <c r="N435" s="54"/>
    </row>
    <row r="436" ht="14.25" customHeight="1">
      <c r="A436" s="54"/>
      <c r="B436" s="54"/>
      <c r="C436" s="54"/>
      <c r="D436" s="54"/>
      <c r="E436" s="54"/>
      <c r="F436" s="54"/>
      <c r="G436" s="54"/>
      <c r="H436" s="54"/>
      <c r="I436" s="54"/>
      <c r="J436" s="54"/>
      <c r="K436" s="54"/>
      <c r="L436" s="54"/>
      <c r="M436" s="54"/>
      <c r="N436" s="54"/>
    </row>
    <row r="437" ht="14.25" customHeight="1">
      <c r="A437" s="54"/>
      <c r="B437" s="54"/>
      <c r="C437" s="54"/>
      <c r="D437" s="54"/>
      <c r="E437" s="54"/>
      <c r="F437" s="54"/>
      <c r="G437" s="54"/>
      <c r="H437" s="54"/>
      <c r="I437" s="54"/>
      <c r="J437" s="54"/>
      <c r="K437" s="54"/>
      <c r="L437" s="54"/>
      <c r="M437" s="54"/>
      <c r="N437" s="54"/>
    </row>
    <row r="438" ht="14.25" customHeight="1">
      <c r="A438" s="54"/>
      <c r="B438" s="54"/>
      <c r="C438" s="54"/>
      <c r="D438" s="54"/>
      <c r="E438" s="54"/>
      <c r="F438" s="54"/>
      <c r="G438" s="54"/>
      <c r="H438" s="54"/>
      <c r="I438" s="54"/>
      <c r="J438" s="54"/>
      <c r="K438" s="54"/>
      <c r="L438" s="54"/>
      <c r="M438" s="54"/>
      <c r="N438" s="54"/>
    </row>
    <row r="439" ht="14.25" customHeight="1">
      <c r="A439" s="54"/>
      <c r="B439" s="54"/>
      <c r="C439" s="54"/>
      <c r="D439" s="54"/>
      <c r="E439" s="54"/>
      <c r="F439" s="54"/>
      <c r="G439" s="54"/>
      <c r="H439" s="54"/>
      <c r="I439" s="54"/>
      <c r="J439" s="54"/>
      <c r="K439" s="54"/>
      <c r="L439" s="54"/>
      <c r="M439" s="54"/>
      <c r="N439" s="54"/>
    </row>
    <row r="440" ht="14.25" customHeight="1">
      <c r="A440" s="54"/>
      <c r="B440" s="54"/>
      <c r="C440" s="54"/>
      <c r="D440" s="54"/>
      <c r="E440" s="54"/>
      <c r="F440" s="54"/>
      <c r="G440" s="54"/>
      <c r="H440" s="54"/>
      <c r="I440" s="54"/>
      <c r="J440" s="54"/>
      <c r="K440" s="54"/>
      <c r="L440" s="54"/>
      <c r="M440" s="54"/>
      <c r="N440" s="54"/>
    </row>
    <row r="441" ht="14.25" customHeight="1">
      <c r="A441" s="54"/>
      <c r="B441" s="54"/>
      <c r="C441" s="54"/>
      <c r="D441" s="54"/>
      <c r="E441" s="54"/>
      <c r="F441" s="54"/>
      <c r="G441" s="54"/>
      <c r="H441" s="54"/>
      <c r="I441" s="54"/>
      <c r="J441" s="54"/>
      <c r="K441" s="54"/>
      <c r="L441" s="54"/>
      <c r="M441" s="54"/>
      <c r="N441" s="54"/>
    </row>
    <row r="442" ht="14.25" customHeight="1">
      <c r="A442" s="54"/>
      <c r="B442" s="54"/>
      <c r="C442" s="54"/>
      <c r="D442" s="54"/>
      <c r="E442" s="54"/>
      <c r="F442" s="54"/>
      <c r="G442" s="54"/>
      <c r="H442" s="54"/>
      <c r="I442" s="54"/>
      <c r="J442" s="54"/>
      <c r="K442" s="54"/>
      <c r="L442" s="54"/>
      <c r="M442" s="54"/>
      <c r="N442" s="54"/>
    </row>
    <row r="443" ht="14.25" customHeight="1">
      <c r="A443" s="54"/>
      <c r="B443" s="54"/>
      <c r="C443" s="54"/>
      <c r="D443" s="54"/>
      <c r="E443" s="54"/>
      <c r="F443" s="54"/>
      <c r="G443" s="54"/>
      <c r="H443" s="54"/>
      <c r="I443" s="54"/>
      <c r="J443" s="54"/>
      <c r="K443" s="54"/>
      <c r="L443" s="54"/>
      <c r="M443" s="54"/>
      <c r="N443" s="54"/>
    </row>
    <row r="444" ht="14.25" customHeight="1">
      <c r="A444" s="54"/>
      <c r="B444" s="54"/>
      <c r="C444" s="54"/>
      <c r="D444" s="54"/>
      <c r="E444" s="54"/>
      <c r="F444" s="54"/>
      <c r="G444" s="54"/>
      <c r="H444" s="54"/>
      <c r="I444" s="54"/>
      <c r="J444" s="54"/>
      <c r="K444" s="54"/>
      <c r="L444" s="54"/>
      <c r="M444" s="54"/>
      <c r="N444" s="54"/>
    </row>
    <row r="445" ht="14.25" customHeight="1">
      <c r="A445" s="54"/>
      <c r="B445" s="54"/>
      <c r="C445" s="54"/>
      <c r="D445" s="54"/>
      <c r="E445" s="54"/>
      <c r="F445" s="54"/>
      <c r="G445" s="54"/>
      <c r="H445" s="54"/>
      <c r="I445" s="54"/>
      <c r="J445" s="54"/>
      <c r="K445" s="54"/>
      <c r="L445" s="54"/>
      <c r="M445" s="54"/>
      <c r="N445" s="54"/>
    </row>
    <row r="446" ht="14.25" customHeight="1">
      <c r="A446" s="54"/>
      <c r="B446" s="54"/>
      <c r="C446" s="54"/>
      <c r="D446" s="54"/>
      <c r="E446" s="54"/>
      <c r="F446" s="54"/>
      <c r="G446" s="54"/>
      <c r="H446" s="54"/>
      <c r="I446" s="54"/>
      <c r="J446" s="54"/>
      <c r="K446" s="54"/>
      <c r="L446" s="54"/>
      <c r="M446" s="54"/>
      <c r="N446" s="54"/>
    </row>
    <row r="447" ht="14.25" customHeight="1">
      <c r="A447" s="54"/>
      <c r="B447" s="54"/>
      <c r="C447" s="54"/>
      <c r="D447" s="54"/>
      <c r="E447" s="54"/>
      <c r="F447" s="54"/>
      <c r="G447" s="54"/>
      <c r="H447" s="54"/>
      <c r="I447" s="54"/>
      <c r="J447" s="54"/>
      <c r="K447" s="54"/>
      <c r="L447" s="54"/>
      <c r="M447" s="54"/>
      <c r="N447" s="54"/>
    </row>
    <row r="448" ht="14.25" customHeight="1">
      <c r="A448" s="54"/>
      <c r="B448" s="54"/>
      <c r="C448" s="54"/>
      <c r="D448" s="54"/>
      <c r="E448" s="54"/>
      <c r="F448" s="54"/>
      <c r="G448" s="54"/>
      <c r="H448" s="54"/>
      <c r="I448" s="54"/>
      <c r="J448" s="54"/>
      <c r="K448" s="54"/>
      <c r="L448" s="54"/>
      <c r="M448" s="54"/>
      <c r="N448" s="54"/>
    </row>
    <row r="449" ht="14.25" customHeight="1">
      <c r="A449" s="54"/>
      <c r="B449" s="54"/>
      <c r="C449" s="54"/>
      <c r="D449" s="54"/>
      <c r="E449" s="54"/>
      <c r="F449" s="54"/>
      <c r="G449" s="54"/>
      <c r="H449" s="54"/>
      <c r="I449" s="54"/>
      <c r="J449" s="54"/>
      <c r="K449" s="54"/>
      <c r="L449" s="54"/>
      <c r="M449" s="54"/>
      <c r="N449" s="54"/>
    </row>
    <row r="450" ht="14.25" customHeight="1">
      <c r="A450" s="54"/>
      <c r="B450" s="54"/>
      <c r="C450" s="54"/>
      <c r="D450" s="54"/>
      <c r="E450" s="54"/>
      <c r="F450" s="54"/>
      <c r="G450" s="54"/>
      <c r="H450" s="54"/>
      <c r="I450" s="54"/>
      <c r="J450" s="54"/>
      <c r="K450" s="54"/>
      <c r="L450" s="54"/>
      <c r="M450" s="54"/>
      <c r="N450" s="54"/>
    </row>
    <row r="451" ht="14.25" customHeight="1">
      <c r="A451" s="54"/>
      <c r="B451" s="54"/>
      <c r="C451" s="54"/>
      <c r="D451" s="54"/>
      <c r="E451" s="54"/>
      <c r="F451" s="54"/>
      <c r="G451" s="54"/>
      <c r="H451" s="54"/>
      <c r="I451" s="54"/>
      <c r="J451" s="54"/>
      <c r="K451" s="54"/>
      <c r="L451" s="54"/>
      <c r="M451" s="54"/>
      <c r="N451" s="54"/>
    </row>
    <row r="452" ht="14.25" customHeight="1">
      <c r="A452" s="54"/>
      <c r="B452" s="54"/>
      <c r="C452" s="54"/>
      <c r="D452" s="54"/>
      <c r="E452" s="54"/>
      <c r="F452" s="54"/>
      <c r="G452" s="54"/>
      <c r="H452" s="54"/>
      <c r="I452" s="54"/>
      <c r="J452" s="54"/>
      <c r="K452" s="54"/>
      <c r="L452" s="54"/>
      <c r="M452" s="54"/>
      <c r="N452" s="54"/>
    </row>
    <row r="453" ht="14.25" customHeight="1">
      <c r="A453" s="54"/>
      <c r="B453" s="54"/>
      <c r="C453" s="54"/>
      <c r="D453" s="54"/>
      <c r="E453" s="54"/>
      <c r="F453" s="54"/>
      <c r="G453" s="54"/>
      <c r="H453" s="54"/>
      <c r="I453" s="54"/>
      <c r="J453" s="54"/>
      <c r="K453" s="54"/>
      <c r="L453" s="54"/>
      <c r="M453" s="54"/>
      <c r="N453" s="54"/>
    </row>
    <row r="454" ht="14.25" customHeight="1">
      <c r="A454" s="54"/>
      <c r="B454" s="54"/>
      <c r="C454" s="54"/>
      <c r="D454" s="54"/>
      <c r="E454" s="54"/>
      <c r="F454" s="54"/>
      <c r="G454" s="54"/>
      <c r="H454" s="54"/>
      <c r="I454" s="54"/>
      <c r="J454" s="54"/>
      <c r="K454" s="54"/>
      <c r="L454" s="54"/>
      <c r="M454" s="54"/>
      <c r="N454" s="54"/>
    </row>
    <row r="455" ht="14.25" customHeight="1">
      <c r="A455" s="54"/>
      <c r="B455" s="54"/>
      <c r="C455" s="54"/>
      <c r="D455" s="54"/>
      <c r="E455" s="54"/>
      <c r="F455" s="54"/>
      <c r="G455" s="54"/>
      <c r="H455" s="54"/>
      <c r="I455" s="54"/>
      <c r="J455" s="54"/>
      <c r="K455" s="54"/>
      <c r="L455" s="54"/>
      <c r="M455" s="54"/>
      <c r="N455" s="54"/>
    </row>
    <row r="456" ht="14.25" customHeight="1">
      <c r="A456" s="54"/>
      <c r="B456" s="54"/>
      <c r="C456" s="54"/>
      <c r="D456" s="54"/>
      <c r="E456" s="54"/>
      <c r="F456" s="54"/>
      <c r="G456" s="54"/>
      <c r="H456" s="54"/>
      <c r="I456" s="54"/>
      <c r="J456" s="54"/>
      <c r="K456" s="54"/>
      <c r="L456" s="54"/>
      <c r="M456" s="54"/>
      <c r="N456" s="54"/>
    </row>
    <row r="457" ht="14.25" customHeight="1">
      <c r="A457" s="54"/>
      <c r="B457" s="54"/>
      <c r="C457" s="54"/>
      <c r="D457" s="54"/>
      <c r="E457" s="54"/>
      <c r="F457" s="54"/>
      <c r="G457" s="54"/>
      <c r="H457" s="54"/>
      <c r="I457" s="54"/>
      <c r="J457" s="54"/>
      <c r="K457" s="54"/>
      <c r="L457" s="54"/>
      <c r="M457" s="54"/>
      <c r="N457" s="54"/>
    </row>
    <row r="458" ht="14.25" customHeight="1">
      <c r="A458" s="54"/>
      <c r="B458" s="54"/>
      <c r="C458" s="54"/>
      <c r="D458" s="54"/>
      <c r="E458" s="54"/>
      <c r="F458" s="54"/>
      <c r="G458" s="54"/>
      <c r="H458" s="54"/>
      <c r="I458" s="54"/>
      <c r="J458" s="54"/>
      <c r="K458" s="54"/>
      <c r="L458" s="54"/>
      <c r="M458" s="54"/>
      <c r="N458" s="54"/>
    </row>
    <row r="459" ht="14.25" customHeight="1">
      <c r="A459" s="54"/>
      <c r="B459" s="54"/>
      <c r="C459" s="54"/>
      <c r="D459" s="54"/>
      <c r="E459" s="54"/>
      <c r="F459" s="54"/>
      <c r="G459" s="54"/>
      <c r="H459" s="54"/>
      <c r="I459" s="54"/>
      <c r="J459" s="54"/>
      <c r="K459" s="54"/>
      <c r="L459" s="54"/>
      <c r="M459" s="54"/>
      <c r="N459" s="54"/>
    </row>
    <row r="460" ht="14.25" customHeight="1">
      <c r="A460" s="54"/>
      <c r="B460" s="54"/>
      <c r="C460" s="54"/>
      <c r="D460" s="54"/>
      <c r="E460" s="54"/>
      <c r="F460" s="54"/>
      <c r="G460" s="54"/>
      <c r="H460" s="54"/>
      <c r="I460" s="54"/>
      <c r="J460" s="54"/>
      <c r="K460" s="54"/>
      <c r="L460" s="54"/>
      <c r="M460" s="54"/>
      <c r="N460" s="54"/>
    </row>
    <row r="461" ht="14.25" customHeight="1">
      <c r="A461" s="54"/>
      <c r="B461" s="54"/>
      <c r="C461" s="54"/>
      <c r="D461" s="54"/>
      <c r="E461" s="54"/>
      <c r="F461" s="54"/>
      <c r="G461" s="54"/>
      <c r="H461" s="54"/>
      <c r="I461" s="54"/>
      <c r="J461" s="54"/>
      <c r="K461" s="54"/>
      <c r="L461" s="54"/>
      <c r="M461" s="54"/>
      <c r="N461" s="54"/>
    </row>
    <row r="462" ht="14.25" customHeight="1">
      <c r="A462" s="54"/>
      <c r="B462" s="54"/>
      <c r="C462" s="54"/>
      <c r="D462" s="54"/>
      <c r="E462" s="54"/>
      <c r="F462" s="54"/>
      <c r="G462" s="54"/>
      <c r="H462" s="54"/>
      <c r="I462" s="54"/>
      <c r="J462" s="54"/>
      <c r="K462" s="54"/>
      <c r="L462" s="54"/>
      <c r="M462" s="54"/>
      <c r="N462" s="54"/>
    </row>
    <row r="463" ht="14.25" customHeight="1">
      <c r="A463" s="54"/>
      <c r="B463" s="54"/>
      <c r="C463" s="54"/>
      <c r="D463" s="54"/>
      <c r="E463" s="54"/>
      <c r="F463" s="54"/>
      <c r="G463" s="54"/>
      <c r="H463" s="54"/>
      <c r="I463" s="54"/>
      <c r="J463" s="54"/>
      <c r="K463" s="54"/>
      <c r="L463" s="54"/>
      <c r="M463" s="54"/>
      <c r="N463" s="54"/>
    </row>
    <row r="464" ht="14.25" customHeight="1">
      <c r="A464" s="54"/>
      <c r="B464" s="54"/>
      <c r="C464" s="54"/>
      <c r="D464" s="54"/>
      <c r="E464" s="54"/>
      <c r="F464" s="54"/>
      <c r="G464" s="54"/>
      <c r="H464" s="54"/>
      <c r="I464" s="54"/>
      <c r="J464" s="54"/>
      <c r="K464" s="54"/>
      <c r="L464" s="54"/>
      <c r="M464" s="54"/>
      <c r="N464" s="54"/>
    </row>
    <row r="465" ht="14.25" customHeight="1">
      <c r="A465" s="54"/>
      <c r="B465" s="54"/>
      <c r="C465" s="54"/>
      <c r="D465" s="54"/>
      <c r="E465" s="54"/>
      <c r="F465" s="54"/>
      <c r="G465" s="54"/>
      <c r="H465" s="54"/>
      <c r="I465" s="54"/>
      <c r="J465" s="54"/>
      <c r="K465" s="54"/>
      <c r="L465" s="54"/>
      <c r="M465" s="54"/>
      <c r="N465" s="54"/>
    </row>
    <row r="466" ht="14.25" customHeight="1">
      <c r="A466" s="54"/>
      <c r="B466" s="54"/>
      <c r="C466" s="54"/>
      <c r="D466" s="54"/>
      <c r="E466" s="54"/>
      <c r="F466" s="54"/>
      <c r="G466" s="54"/>
      <c r="H466" s="54"/>
      <c r="I466" s="54"/>
      <c r="J466" s="54"/>
      <c r="K466" s="54"/>
      <c r="L466" s="54"/>
      <c r="M466" s="54"/>
      <c r="N466" s="54"/>
    </row>
    <row r="467" ht="14.25" customHeight="1">
      <c r="A467" s="54"/>
      <c r="B467" s="54"/>
      <c r="C467" s="54"/>
      <c r="D467" s="54"/>
      <c r="E467" s="54"/>
      <c r="F467" s="54"/>
      <c r="G467" s="54"/>
      <c r="H467" s="54"/>
      <c r="I467" s="54"/>
      <c r="J467" s="54"/>
      <c r="K467" s="54"/>
      <c r="L467" s="54"/>
      <c r="M467" s="54"/>
      <c r="N467" s="54"/>
    </row>
    <row r="468" ht="14.25" customHeight="1">
      <c r="A468" s="54"/>
      <c r="B468" s="54"/>
      <c r="C468" s="54"/>
      <c r="D468" s="54"/>
      <c r="E468" s="54"/>
      <c r="F468" s="54"/>
      <c r="G468" s="54"/>
      <c r="H468" s="54"/>
      <c r="I468" s="54"/>
      <c r="J468" s="54"/>
      <c r="K468" s="54"/>
      <c r="L468" s="54"/>
      <c r="M468" s="54"/>
      <c r="N468" s="54"/>
    </row>
    <row r="469" ht="14.25" customHeight="1">
      <c r="A469" s="54"/>
      <c r="B469" s="54"/>
      <c r="C469" s="54"/>
      <c r="D469" s="54"/>
      <c r="E469" s="54"/>
      <c r="F469" s="54"/>
      <c r="G469" s="54"/>
      <c r="H469" s="54"/>
      <c r="I469" s="54"/>
      <c r="J469" s="54"/>
      <c r="K469" s="54"/>
      <c r="L469" s="54"/>
      <c r="M469" s="54"/>
      <c r="N469" s="54"/>
    </row>
    <row r="470" ht="14.25" customHeight="1">
      <c r="A470" s="54"/>
      <c r="B470" s="54"/>
      <c r="C470" s="54"/>
      <c r="D470" s="54"/>
      <c r="E470" s="54"/>
      <c r="F470" s="54"/>
      <c r="G470" s="54"/>
      <c r="H470" s="54"/>
      <c r="I470" s="54"/>
      <c r="J470" s="54"/>
      <c r="K470" s="54"/>
      <c r="L470" s="54"/>
      <c r="M470" s="54"/>
      <c r="N470" s="54"/>
    </row>
    <row r="471" ht="14.25" customHeight="1">
      <c r="A471" s="54"/>
      <c r="B471" s="54"/>
      <c r="C471" s="54"/>
      <c r="D471" s="54"/>
      <c r="E471" s="54"/>
      <c r="F471" s="54"/>
      <c r="G471" s="54"/>
      <c r="H471" s="54"/>
      <c r="I471" s="54"/>
      <c r="J471" s="54"/>
      <c r="K471" s="54"/>
      <c r="L471" s="54"/>
      <c r="M471" s="54"/>
      <c r="N471" s="54"/>
    </row>
    <row r="472" ht="14.25" customHeight="1">
      <c r="A472" s="54"/>
      <c r="B472" s="54"/>
      <c r="C472" s="54"/>
      <c r="D472" s="54"/>
      <c r="E472" s="54"/>
      <c r="F472" s="54"/>
      <c r="G472" s="54"/>
      <c r="H472" s="54"/>
      <c r="I472" s="54"/>
      <c r="J472" s="54"/>
      <c r="K472" s="54"/>
      <c r="L472" s="54"/>
      <c r="M472" s="54"/>
      <c r="N472" s="54"/>
    </row>
    <row r="473" ht="14.25" customHeight="1">
      <c r="A473" s="54"/>
      <c r="B473" s="54"/>
      <c r="C473" s="54"/>
      <c r="D473" s="54"/>
      <c r="E473" s="54"/>
      <c r="F473" s="54"/>
      <c r="G473" s="54"/>
      <c r="H473" s="54"/>
      <c r="I473" s="54"/>
      <c r="J473" s="54"/>
      <c r="K473" s="54"/>
      <c r="L473" s="54"/>
      <c r="M473" s="54"/>
      <c r="N473" s="54"/>
    </row>
    <row r="474" ht="14.25" customHeight="1">
      <c r="A474" s="54"/>
      <c r="B474" s="54"/>
      <c r="C474" s="54"/>
      <c r="D474" s="54"/>
      <c r="E474" s="54"/>
      <c r="F474" s="54"/>
      <c r="G474" s="54"/>
      <c r="H474" s="54"/>
      <c r="I474" s="54"/>
      <c r="J474" s="54"/>
      <c r="K474" s="54"/>
      <c r="L474" s="54"/>
      <c r="M474" s="54"/>
      <c r="N474" s="54"/>
    </row>
    <row r="475" ht="14.25" customHeight="1">
      <c r="A475" s="54"/>
      <c r="B475" s="54"/>
      <c r="C475" s="54"/>
      <c r="D475" s="54"/>
      <c r="E475" s="54"/>
      <c r="F475" s="54"/>
      <c r="G475" s="54"/>
      <c r="H475" s="54"/>
      <c r="I475" s="54"/>
      <c r="J475" s="54"/>
      <c r="K475" s="54"/>
      <c r="L475" s="54"/>
      <c r="M475" s="54"/>
      <c r="N475" s="54"/>
    </row>
    <row r="476" ht="14.25" customHeight="1">
      <c r="A476" s="54"/>
      <c r="B476" s="54"/>
      <c r="C476" s="54"/>
      <c r="D476" s="54"/>
      <c r="E476" s="54"/>
      <c r="F476" s="54"/>
      <c r="G476" s="54"/>
      <c r="H476" s="54"/>
      <c r="I476" s="54"/>
      <c r="J476" s="54"/>
      <c r="K476" s="54"/>
      <c r="L476" s="54"/>
      <c r="M476" s="54"/>
      <c r="N476" s="54"/>
    </row>
    <row r="477" ht="14.25" customHeight="1">
      <c r="A477" s="54"/>
      <c r="B477" s="54"/>
      <c r="C477" s="54"/>
      <c r="D477" s="54"/>
      <c r="E477" s="54"/>
      <c r="F477" s="54"/>
      <c r="G477" s="54"/>
      <c r="H477" s="54"/>
      <c r="I477" s="54"/>
      <c r="J477" s="54"/>
      <c r="K477" s="54"/>
      <c r="L477" s="54"/>
      <c r="M477" s="54"/>
      <c r="N477" s="54"/>
    </row>
    <row r="478" ht="14.25" customHeight="1">
      <c r="A478" s="54"/>
      <c r="B478" s="54"/>
      <c r="C478" s="54"/>
      <c r="D478" s="54"/>
      <c r="E478" s="54"/>
      <c r="F478" s="54"/>
      <c r="G478" s="54"/>
      <c r="H478" s="54"/>
      <c r="I478" s="54"/>
      <c r="J478" s="54"/>
      <c r="K478" s="54"/>
      <c r="L478" s="54"/>
      <c r="M478" s="54"/>
      <c r="N478" s="54"/>
    </row>
    <row r="479" ht="14.25" customHeight="1">
      <c r="A479" s="54"/>
      <c r="B479" s="54"/>
      <c r="C479" s="54"/>
      <c r="D479" s="54"/>
      <c r="E479" s="54"/>
      <c r="F479" s="54"/>
      <c r="G479" s="54"/>
      <c r="H479" s="54"/>
      <c r="I479" s="54"/>
      <c r="J479" s="54"/>
      <c r="K479" s="54"/>
      <c r="L479" s="54"/>
      <c r="M479" s="54"/>
      <c r="N479" s="54"/>
    </row>
    <row r="480" ht="14.25" customHeight="1">
      <c r="A480" s="54"/>
      <c r="B480" s="54"/>
      <c r="C480" s="54"/>
      <c r="D480" s="54"/>
      <c r="E480" s="54"/>
      <c r="F480" s="54"/>
      <c r="G480" s="54"/>
      <c r="H480" s="54"/>
      <c r="I480" s="54"/>
      <c r="J480" s="54"/>
      <c r="K480" s="54"/>
      <c r="L480" s="54"/>
      <c r="M480" s="54"/>
      <c r="N480" s="54"/>
    </row>
    <row r="481" ht="14.25" customHeight="1">
      <c r="A481" s="54"/>
      <c r="B481" s="54"/>
      <c r="C481" s="54"/>
      <c r="D481" s="54"/>
      <c r="E481" s="54"/>
      <c r="F481" s="54"/>
      <c r="G481" s="54"/>
      <c r="H481" s="54"/>
      <c r="I481" s="54"/>
      <c r="J481" s="54"/>
      <c r="K481" s="54"/>
      <c r="L481" s="54"/>
      <c r="M481" s="54"/>
      <c r="N481" s="54"/>
    </row>
    <row r="482" ht="14.25" customHeight="1">
      <c r="A482" s="54"/>
      <c r="B482" s="54"/>
      <c r="C482" s="54"/>
      <c r="D482" s="54"/>
      <c r="E482" s="54"/>
      <c r="F482" s="54"/>
      <c r="G482" s="54"/>
      <c r="H482" s="54"/>
      <c r="I482" s="54"/>
      <c r="J482" s="54"/>
      <c r="K482" s="54"/>
      <c r="L482" s="54"/>
      <c r="M482" s="54"/>
      <c r="N482" s="54"/>
    </row>
    <row r="483" ht="14.25" customHeight="1">
      <c r="A483" s="54"/>
      <c r="B483" s="54"/>
      <c r="C483" s="54"/>
      <c r="D483" s="54"/>
      <c r="E483" s="54"/>
      <c r="F483" s="54"/>
      <c r="G483" s="54"/>
      <c r="H483" s="54"/>
      <c r="I483" s="54"/>
      <c r="J483" s="54"/>
      <c r="K483" s="54"/>
      <c r="L483" s="54"/>
      <c r="M483" s="54"/>
      <c r="N483" s="54"/>
    </row>
    <row r="484" ht="14.25" customHeight="1">
      <c r="A484" s="54"/>
      <c r="B484" s="54"/>
      <c r="C484" s="54"/>
      <c r="D484" s="54"/>
      <c r="E484" s="54"/>
      <c r="F484" s="54"/>
      <c r="G484" s="54"/>
      <c r="H484" s="54"/>
      <c r="I484" s="54"/>
      <c r="J484" s="54"/>
      <c r="K484" s="54"/>
      <c r="L484" s="54"/>
      <c r="M484" s="54"/>
      <c r="N484" s="54"/>
    </row>
    <row r="485" ht="14.25" customHeight="1">
      <c r="A485" s="54"/>
      <c r="B485" s="54"/>
      <c r="C485" s="54"/>
      <c r="D485" s="54"/>
      <c r="E485" s="54"/>
      <c r="F485" s="54"/>
      <c r="G485" s="54"/>
      <c r="H485" s="54"/>
      <c r="I485" s="54"/>
      <c r="J485" s="54"/>
      <c r="K485" s="54"/>
      <c r="L485" s="54"/>
      <c r="M485" s="54"/>
      <c r="N485" s="54"/>
    </row>
    <row r="486" ht="14.25" customHeight="1">
      <c r="A486" s="54"/>
      <c r="B486" s="54"/>
      <c r="C486" s="54"/>
      <c r="D486" s="54"/>
      <c r="E486" s="54"/>
      <c r="F486" s="54"/>
      <c r="G486" s="54"/>
      <c r="H486" s="54"/>
      <c r="I486" s="54"/>
      <c r="J486" s="54"/>
      <c r="K486" s="54"/>
      <c r="L486" s="54"/>
      <c r="M486" s="54"/>
      <c r="N486" s="54"/>
    </row>
    <row r="487" ht="14.25" customHeight="1">
      <c r="A487" s="54"/>
      <c r="B487" s="54"/>
      <c r="C487" s="54"/>
      <c r="D487" s="54"/>
      <c r="E487" s="54"/>
      <c r="F487" s="54"/>
      <c r="G487" s="54"/>
      <c r="H487" s="54"/>
      <c r="I487" s="54"/>
      <c r="J487" s="54"/>
      <c r="K487" s="54"/>
      <c r="L487" s="54"/>
      <c r="M487" s="54"/>
      <c r="N487" s="54"/>
    </row>
    <row r="488" ht="14.25" customHeight="1">
      <c r="A488" s="54"/>
      <c r="B488" s="54"/>
      <c r="C488" s="54"/>
      <c r="D488" s="54"/>
      <c r="E488" s="54"/>
      <c r="F488" s="54"/>
      <c r="G488" s="54"/>
      <c r="H488" s="54"/>
      <c r="I488" s="54"/>
      <c r="J488" s="54"/>
      <c r="K488" s="54"/>
      <c r="L488" s="54"/>
      <c r="M488" s="54"/>
      <c r="N488" s="54"/>
    </row>
    <row r="489" ht="14.25" customHeight="1">
      <c r="A489" s="54"/>
      <c r="B489" s="54"/>
      <c r="C489" s="54"/>
      <c r="D489" s="54"/>
      <c r="E489" s="54"/>
      <c r="F489" s="54"/>
      <c r="G489" s="54"/>
      <c r="H489" s="54"/>
      <c r="I489" s="54"/>
      <c r="J489" s="54"/>
      <c r="K489" s="54"/>
      <c r="L489" s="54"/>
      <c r="M489" s="54"/>
      <c r="N489" s="54"/>
    </row>
    <row r="490" ht="14.25" customHeight="1">
      <c r="A490" s="54"/>
      <c r="B490" s="54"/>
      <c r="C490" s="54"/>
      <c r="D490" s="54"/>
      <c r="E490" s="54"/>
      <c r="F490" s="54"/>
      <c r="G490" s="54"/>
      <c r="H490" s="54"/>
      <c r="I490" s="54"/>
      <c r="J490" s="54"/>
      <c r="K490" s="54"/>
      <c r="L490" s="54"/>
      <c r="M490" s="54"/>
      <c r="N490" s="54"/>
    </row>
    <row r="491" ht="14.25" customHeight="1">
      <c r="A491" s="54"/>
      <c r="B491" s="54"/>
      <c r="C491" s="54"/>
      <c r="D491" s="54"/>
      <c r="E491" s="54"/>
      <c r="F491" s="54"/>
      <c r="G491" s="54"/>
      <c r="H491" s="54"/>
      <c r="I491" s="54"/>
      <c r="J491" s="54"/>
      <c r="K491" s="54"/>
      <c r="L491" s="54"/>
      <c r="M491" s="54"/>
      <c r="N491" s="54"/>
    </row>
    <row r="492" ht="14.25" customHeight="1">
      <c r="A492" s="54"/>
      <c r="B492" s="54"/>
      <c r="C492" s="54"/>
      <c r="D492" s="54"/>
      <c r="E492" s="54"/>
      <c r="F492" s="54"/>
      <c r="G492" s="54"/>
      <c r="H492" s="54"/>
      <c r="I492" s="54"/>
      <c r="J492" s="54"/>
      <c r="K492" s="54"/>
      <c r="L492" s="54"/>
      <c r="M492" s="54"/>
      <c r="N492" s="54"/>
    </row>
    <row r="493" ht="14.25" customHeight="1">
      <c r="A493" s="54"/>
      <c r="B493" s="54"/>
      <c r="C493" s="54"/>
      <c r="D493" s="54"/>
      <c r="E493" s="54"/>
      <c r="F493" s="54"/>
      <c r="G493" s="54"/>
      <c r="H493" s="54"/>
      <c r="I493" s="54"/>
      <c r="J493" s="54"/>
      <c r="K493" s="54"/>
      <c r="L493" s="54"/>
      <c r="M493" s="54"/>
      <c r="N493" s="54"/>
    </row>
    <row r="494" ht="14.25" customHeight="1">
      <c r="A494" s="54"/>
      <c r="B494" s="54"/>
      <c r="C494" s="54"/>
      <c r="D494" s="54"/>
      <c r="E494" s="54"/>
      <c r="F494" s="54"/>
      <c r="G494" s="54"/>
      <c r="H494" s="54"/>
      <c r="I494" s="54"/>
      <c r="J494" s="54"/>
      <c r="K494" s="54"/>
      <c r="L494" s="54"/>
      <c r="M494" s="54"/>
      <c r="N494" s="54"/>
    </row>
    <row r="495" ht="14.25" customHeight="1">
      <c r="A495" s="54"/>
      <c r="B495" s="54"/>
      <c r="C495" s="54"/>
      <c r="D495" s="54"/>
      <c r="E495" s="54"/>
      <c r="F495" s="54"/>
      <c r="G495" s="54"/>
      <c r="H495" s="54"/>
      <c r="I495" s="54"/>
      <c r="J495" s="54"/>
      <c r="K495" s="54"/>
      <c r="L495" s="54"/>
      <c r="M495" s="54"/>
      <c r="N495" s="54"/>
    </row>
    <row r="496" ht="14.25" customHeight="1">
      <c r="A496" s="54"/>
      <c r="B496" s="54"/>
      <c r="C496" s="54"/>
      <c r="D496" s="54"/>
      <c r="E496" s="54"/>
      <c r="F496" s="54"/>
      <c r="G496" s="54"/>
      <c r="H496" s="54"/>
      <c r="I496" s="54"/>
      <c r="J496" s="54"/>
      <c r="K496" s="54"/>
      <c r="L496" s="54"/>
      <c r="M496" s="54"/>
      <c r="N496" s="54"/>
    </row>
    <row r="497" ht="14.25" customHeight="1">
      <c r="A497" s="54"/>
      <c r="B497" s="54"/>
      <c r="C497" s="54"/>
      <c r="D497" s="54"/>
      <c r="E497" s="54"/>
      <c r="F497" s="54"/>
      <c r="G497" s="54"/>
      <c r="H497" s="54"/>
      <c r="I497" s="54"/>
      <c r="J497" s="54"/>
      <c r="K497" s="54"/>
      <c r="L497" s="54"/>
      <c r="M497" s="54"/>
      <c r="N497" s="54"/>
    </row>
    <row r="498" ht="14.25" customHeight="1">
      <c r="A498" s="54"/>
      <c r="B498" s="54"/>
      <c r="C498" s="54"/>
      <c r="D498" s="54"/>
      <c r="E498" s="54"/>
      <c r="F498" s="54"/>
      <c r="G498" s="54"/>
      <c r="H498" s="54"/>
      <c r="I498" s="54"/>
      <c r="J498" s="54"/>
      <c r="K498" s="54"/>
      <c r="L498" s="54"/>
      <c r="M498" s="54"/>
      <c r="N498" s="54"/>
    </row>
    <row r="499" ht="14.25" customHeight="1">
      <c r="A499" s="54"/>
      <c r="B499" s="54"/>
      <c r="C499" s="54"/>
      <c r="D499" s="54"/>
      <c r="E499" s="54"/>
      <c r="F499" s="54"/>
      <c r="G499" s="54"/>
      <c r="H499" s="54"/>
      <c r="I499" s="54"/>
      <c r="J499" s="54"/>
      <c r="K499" s="54"/>
      <c r="L499" s="54"/>
      <c r="M499" s="54"/>
      <c r="N499" s="54"/>
    </row>
    <row r="500" ht="14.25" customHeight="1">
      <c r="A500" s="54"/>
      <c r="B500" s="54"/>
      <c r="C500" s="54"/>
      <c r="D500" s="54"/>
      <c r="E500" s="54"/>
      <c r="F500" s="54"/>
      <c r="G500" s="54"/>
      <c r="H500" s="54"/>
      <c r="I500" s="54"/>
      <c r="J500" s="54"/>
      <c r="K500" s="54"/>
      <c r="L500" s="54"/>
      <c r="M500" s="54"/>
      <c r="N500" s="54"/>
    </row>
    <row r="501" ht="14.25" customHeight="1">
      <c r="A501" s="54"/>
      <c r="B501" s="54"/>
      <c r="C501" s="54"/>
      <c r="D501" s="54"/>
      <c r="E501" s="54"/>
      <c r="F501" s="54"/>
      <c r="G501" s="54"/>
      <c r="H501" s="54"/>
      <c r="I501" s="54"/>
      <c r="J501" s="54"/>
      <c r="K501" s="54"/>
      <c r="L501" s="54"/>
      <c r="M501" s="54"/>
      <c r="N501" s="54"/>
    </row>
    <row r="502" ht="14.25" customHeight="1">
      <c r="A502" s="54"/>
      <c r="B502" s="54"/>
      <c r="C502" s="54"/>
      <c r="D502" s="54"/>
      <c r="E502" s="54"/>
      <c r="F502" s="54"/>
      <c r="G502" s="54"/>
      <c r="H502" s="54"/>
      <c r="I502" s="54"/>
      <c r="J502" s="54"/>
      <c r="K502" s="54"/>
      <c r="L502" s="54"/>
      <c r="M502" s="54"/>
      <c r="N502" s="54"/>
    </row>
    <row r="503" ht="14.25" customHeight="1">
      <c r="A503" s="54"/>
      <c r="B503" s="54"/>
      <c r="C503" s="54"/>
      <c r="D503" s="54"/>
      <c r="E503" s="54"/>
      <c r="F503" s="54"/>
      <c r="G503" s="54"/>
      <c r="H503" s="54"/>
      <c r="I503" s="54"/>
      <c r="J503" s="54"/>
      <c r="K503" s="54"/>
      <c r="L503" s="54"/>
      <c r="M503" s="54"/>
      <c r="N503" s="54"/>
    </row>
    <row r="504" ht="14.25" customHeight="1">
      <c r="A504" s="54"/>
      <c r="B504" s="54"/>
      <c r="C504" s="54"/>
      <c r="D504" s="54"/>
      <c r="E504" s="54"/>
      <c r="F504" s="54"/>
      <c r="G504" s="54"/>
      <c r="H504" s="54"/>
      <c r="I504" s="54"/>
      <c r="J504" s="54"/>
      <c r="K504" s="54"/>
      <c r="L504" s="54"/>
      <c r="M504" s="54"/>
      <c r="N504" s="54"/>
    </row>
    <row r="505" ht="14.25" customHeight="1">
      <c r="A505" s="54"/>
      <c r="B505" s="54"/>
      <c r="C505" s="54"/>
      <c r="D505" s="54"/>
      <c r="E505" s="54"/>
      <c r="F505" s="54"/>
      <c r="G505" s="54"/>
      <c r="H505" s="54"/>
      <c r="I505" s="54"/>
      <c r="J505" s="54"/>
      <c r="K505" s="54"/>
      <c r="L505" s="54"/>
      <c r="M505" s="54"/>
      <c r="N505" s="54"/>
    </row>
    <row r="506" ht="14.25" customHeight="1">
      <c r="A506" s="54"/>
      <c r="B506" s="54"/>
      <c r="C506" s="54"/>
      <c r="D506" s="54"/>
      <c r="E506" s="54"/>
      <c r="F506" s="54"/>
      <c r="G506" s="54"/>
      <c r="H506" s="54"/>
      <c r="I506" s="54"/>
      <c r="J506" s="54"/>
      <c r="K506" s="54"/>
      <c r="L506" s="54"/>
      <c r="M506" s="54"/>
      <c r="N506" s="54"/>
    </row>
    <row r="507" ht="14.25" customHeight="1">
      <c r="A507" s="54"/>
      <c r="B507" s="54"/>
      <c r="C507" s="54"/>
      <c r="D507" s="54"/>
      <c r="E507" s="54"/>
      <c r="F507" s="54"/>
      <c r="G507" s="54"/>
      <c r="H507" s="54"/>
      <c r="I507" s="54"/>
      <c r="J507" s="54"/>
      <c r="K507" s="54"/>
      <c r="L507" s="54"/>
      <c r="M507" s="54"/>
      <c r="N507" s="54"/>
    </row>
    <row r="508" ht="14.25" customHeight="1">
      <c r="A508" s="54"/>
      <c r="B508" s="54"/>
      <c r="C508" s="54"/>
      <c r="D508" s="54"/>
      <c r="E508" s="54"/>
      <c r="F508" s="54"/>
      <c r="G508" s="54"/>
      <c r="H508" s="54"/>
      <c r="I508" s="54"/>
      <c r="J508" s="54"/>
      <c r="K508" s="54"/>
      <c r="L508" s="54"/>
      <c r="M508" s="54"/>
      <c r="N508" s="54"/>
    </row>
    <row r="509" ht="14.25" customHeight="1">
      <c r="A509" s="54"/>
      <c r="B509" s="54"/>
      <c r="C509" s="54"/>
      <c r="D509" s="54"/>
      <c r="E509" s="54"/>
      <c r="F509" s="54"/>
      <c r="G509" s="54"/>
      <c r="H509" s="54"/>
      <c r="I509" s="54"/>
      <c r="J509" s="54"/>
      <c r="K509" s="54"/>
      <c r="L509" s="54"/>
      <c r="M509" s="54"/>
      <c r="N509" s="54"/>
    </row>
    <row r="510" ht="14.25" customHeight="1">
      <c r="A510" s="54"/>
      <c r="B510" s="54"/>
      <c r="C510" s="54"/>
      <c r="D510" s="54"/>
      <c r="E510" s="54"/>
      <c r="F510" s="54"/>
      <c r="G510" s="54"/>
      <c r="H510" s="54"/>
      <c r="I510" s="54"/>
      <c r="J510" s="54"/>
      <c r="K510" s="54"/>
      <c r="L510" s="54"/>
      <c r="M510" s="54"/>
      <c r="N510" s="54"/>
    </row>
    <row r="511" ht="14.25" customHeight="1">
      <c r="A511" s="54"/>
      <c r="B511" s="54"/>
      <c r="C511" s="54"/>
      <c r="D511" s="54"/>
      <c r="E511" s="54"/>
      <c r="F511" s="54"/>
      <c r="G511" s="54"/>
      <c r="H511" s="54"/>
      <c r="I511" s="54"/>
      <c r="J511" s="54"/>
      <c r="K511" s="54"/>
      <c r="L511" s="54"/>
      <c r="M511" s="54"/>
      <c r="N511" s="54"/>
    </row>
    <row r="512" ht="14.25" customHeight="1">
      <c r="A512" s="54"/>
      <c r="B512" s="54"/>
      <c r="C512" s="54"/>
      <c r="D512" s="54"/>
      <c r="E512" s="54"/>
      <c r="F512" s="54"/>
      <c r="G512" s="54"/>
      <c r="H512" s="54"/>
      <c r="I512" s="54"/>
      <c r="J512" s="54"/>
      <c r="K512" s="54"/>
      <c r="L512" s="54"/>
      <c r="M512" s="54"/>
      <c r="N512" s="54"/>
    </row>
    <row r="513" ht="14.25" customHeight="1">
      <c r="A513" s="54"/>
      <c r="B513" s="54"/>
      <c r="C513" s="54"/>
      <c r="D513" s="54"/>
      <c r="E513" s="54"/>
      <c r="F513" s="54"/>
      <c r="G513" s="54"/>
      <c r="H513" s="54"/>
      <c r="I513" s="54"/>
      <c r="J513" s="54"/>
      <c r="K513" s="54"/>
      <c r="L513" s="54"/>
      <c r="M513" s="54"/>
      <c r="N513" s="54"/>
    </row>
    <row r="514" ht="14.25" customHeight="1">
      <c r="A514" s="54"/>
      <c r="B514" s="54"/>
      <c r="C514" s="54"/>
      <c r="D514" s="54"/>
      <c r="E514" s="54"/>
      <c r="F514" s="54"/>
      <c r="G514" s="54"/>
      <c r="H514" s="54"/>
      <c r="I514" s="54"/>
      <c r="J514" s="54"/>
      <c r="K514" s="54"/>
      <c r="L514" s="54"/>
      <c r="M514" s="54"/>
      <c r="N514" s="54"/>
    </row>
    <row r="515" ht="14.25" customHeight="1">
      <c r="A515" s="54"/>
      <c r="B515" s="54"/>
      <c r="C515" s="54"/>
      <c r="D515" s="54"/>
      <c r="E515" s="54"/>
      <c r="F515" s="54"/>
      <c r="G515" s="54"/>
      <c r="H515" s="54"/>
      <c r="I515" s="54"/>
      <c r="J515" s="54"/>
      <c r="K515" s="54"/>
      <c r="L515" s="54"/>
      <c r="M515" s="54"/>
      <c r="N515" s="54"/>
    </row>
    <row r="516" ht="14.25" customHeight="1">
      <c r="A516" s="54"/>
      <c r="B516" s="54"/>
      <c r="C516" s="54"/>
      <c r="D516" s="54"/>
      <c r="E516" s="54"/>
      <c r="F516" s="54"/>
      <c r="G516" s="54"/>
      <c r="H516" s="54"/>
      <c r="I516" s="54"/>
      <c r="J516" s="54"/>
      <c r="K516" s="54"/>
      <c r="L516" s="54"/>
      <c r="M516" s="54"/>
      <c r="N516" s="54"/>
    </row>
    <row r="517" ht="14.25" customHeight="1">
      <c r="A517" s="54"/>
      <c r="B517" s="54"/>
      <c r="C517" s="54"/>
      <c r="D517" s="54"/>
      <c r="E517" s="54"/>
      <c r="F517" s="54"/>
      <c r="G517" s="54"/>
      <c r="H517" s="54"/>
      <c r="I517" s="54"/>
      <c r="J517" s="54"/>
      <c r="K517" s="54"/>
      <c r="L517" s="54"/>
      <c r="M517" s="54"/>
      <c r="N517" s="54"/>
    </row>
    <row r="518" ht="14.25" customHeight="1">
      <c r="A518" s="54"/>
      <c r="B518" s="54"/>
      <c r="C518" s="54"/>
      <c r="D518" s="54"/>
      <c r="E518" s="54"/>
      <c r="F518" s="54"/>
      <c r="G518" s="54"/>
      <c r="H518" s="54"/>
      <c r="I518" s="54"/>
      <c r="J518" s="54"/>
      <c r="K518" s="54"/>
      <c r="L518" s="54"/>
      <c r="M518" s="54"/>
      <c r="N518" s="54"/>
    </row>
    <row r="519" ht="14.25" customHeight="1">
      <c r="A519" s="54"/>
      <c r="B519" s="54"/>
      <c r="C519" s="54"/>
      <c r="D519" s="54"/>
      <c r="E519" s="54"/>
      <c r="F519" s="54"/>
      <c r="G519" s="54"/>
      <c r="H519" s="54"/>
      <c r="I519" s="54"/>
      <c r="J519" s="54"/>
      <c r="K519" s="54"/>
      <c r="L519" s="54"/>
      <c r="M519" s="54"/>
      <c r="N519" s="54"/>
    </row>
    <row r="520" ht="14.25" customHeight="1">
      <c r="A520" s="54"/>
      <c r="B520" s="54"/>
      <c r="C520" s="54"/>
      <c r="D520" s="54"/>
      <c r="E520" s="54"/>
      <c r="F520" s="54"/>
      <c r="G520" s="54"/>
      <c r="H520" s="54"/>
      <c r="I520" s="54"/>
      <c r="J520" s="54"/>
      <c r="K520" s="54"/>
      <c r="L520" s="54"/>
      <c r="M520" s="54"/>
      <c r="N520" s="54"/>
    </row>
    <row r="521" ht="14.25" customHeight="1">
      <c r="A521" s="54"/>
      <c r="B521" s="54"/>
      <c r="C521" s="54"/>
      <c r="D521" s="54"/>
      <c r="E521" s="54"/>
      <c r="F521" s="54"/>
      <c r="G521" s="54"/>
      <c r="H521" s="54"/>
      <c r="I521" s="54"/>
      <c r="J521" s="54"/>
      <c r="K521" s="54"/>
      <c r="L521" s="54"/>
      <c r="M521" s="54"/>
      <c r="N521" s="54"/>
    </row>
    <row r="522" ht="14.25" customHeight="1">
      <c r="A522" s="54"/>
      <c r="B522" s="54"/>
      <c r="C522" s="54"/>
      <c r="D522" s="54"/>
      <c r="E522" s="54"/>
      <c r="F522" s="54"/>
      <c r="G522" s="54"/>
      <c r="H522" s="54"/>
      <c r="I522" s="54"/>
      <c r="J522" s="54"/>
      <c r="K522" s="54"/>
      <c r="L522" s="54"/>
      <c r="M522" s="54"/>
      <c r="N522" s="54"/>
    </row>
    <row r="523" ht="14.25" customHeight="1">
      <c r="A523" s="54"/>
      <c r="B523" s="54"/>
      <c r="C523" s="54"/>
      <c r="D523" s="54"/>
      <c r="E523" s="54"/>
      <c r="F523" s="54"/>
      <c r="G523" s="54"/>
      <c r="H523" s="54"/>
      <c r="I523" s="54"/>
      <c r="J523" s="54"/>
      <c r="K523" s="54"/>
      <c r="L523" s="54"/>
      <c r="M523" s="54"/>
      <c r="N523" s="54"/>
    </row>
    <row r="524" ht="14.25" customHeight="1">
      <c r="A524" s="54"/>
      <c r="B524" s="54"/>
      <c r="C524" s="54"/>
      <c r="D524" s="54"/>
      <c r="E524" s="54"/>
      <c r="F524" s="54"/>
      <c r="G524" s="54"/>
      <c r="H524" s="54"/>
      <c r="I524" s="54"/>
      <c r="J524" s="54"/>
      <c r="K524" s="54"/>
      <c r="L524" s="54"/>
      <c r="M524" s="54"/>
      <c r="N524" s="54"/>
    </row>
    <row r="525" ht="14.25" customHeight="1">
      <c r="A525" s="54"/>
      <c r="B525" s="54"/>
      <c r="C525" s="54"/>
      <c r="D525" s="54"/>
      <c r="E525" s="54"/>
      <c r="F525" s="54"/>
      <c r="G525" s="54"/>
      <c r="H525" s="54"/>
      <c r="I525" s="54"/>
      <c r="J525" s="54"/>
      <c r="K525" s="54"/>
      <c r="L525" s="54"/>
      <c r="M525" s="54"/>
      <c r="N525" s="54"/>
    </row>
    <row r="526" ht="14.25" customHeight="1">
      <c r="A526" s="54"/>
      <c r="B526" s="54"/>
      <c r="C526" s="54"/>
      <c r="D526" s="54"/>
      <c r="E526" s="54"/>
      <c r="F526" s="54"/>
      <c r="G526" s="54"/>
      <c r="H526" s="54"/>
      <c r="I526" s="54"/>
      <c r="J526" s="54"/>
      <c r="K526" s="54"/>
      <c r="L526" s="54"/>
      <c r="M526" s="54"/>
      <c r="N526" s="54"/>
    </row>
    <row r="527" ht="14.25" customHeight="1">
      <c r="A527" s="54"/>
      <c r="B527" s="54"/>
      <c r="C527" s="54"/>
      <c r="D527" s="54"/>
      <c r="E527" s="54"/>
      <c r="F527" s="54"/>
      <c r="G527" s="54"/>
      <c r="H527" s="54"/>
      <c r="I527" s="54"/>
      <c r="J527" s="54"/>
      <c r="K527" s="54"/>
      <c r="L527" s="54"/>
      <c r="M527" s="54"/>
      <c r="N527" s="54"/>
    </row>
    <row r="528" ht="14.25" customHeight="1">
      <c r="A528" s="54"/>
      <c r="B528" s="54"/>
      <c r="C528" s="54"/>
      <c r="D528" s="54"/>
      <c r="E528" s="54"/>
      <c r="F528" s="54"/>
      <c r="G528" s="54"/>
      <c r="H528" s="54"/>
      <c r="I528" s="54"/>
      <c r="J528" s="54"/>
      <c r="K528" s="54"/>
      <c r="L528" s="54"/>
      <c r="M528" s="54"/>
      <c r="N528" s="54"/>
    </row>
    <row r="529" ht="14.25" customHeight="1">
      <c r="A529" s="54"/>
      <c r="B529" s="54"/>
      <c r="C529" s="54"/>
      <c r="D529" s="54"/>
      <c r="E529" s="54"/>
      <c r="F529" s="54"/>
      <c r="G529" s="54"/>
      <c r="H529" s="54"/>
      <c r="I529" s="54"/>
      <c r="J529" s="54"/>
      <c r="K529" s="54"/>
      <c r="L529" s="54"/>
      <c r="M529" s="54"/>
      <c r="N529" s="54"/>
    </row>
    <row r="530" ht="14.25" customHeight="1">
      <c r="A530" s="54"/>
      <c r="B530" s="54"/>
      <c r="C530" s="54"/>
      <c r="D530" s="54"/>
      <c r="E530" s="54"/>
      <c r="F530" s="54"/>
      <c r="G530" s="54"/>
      <c r="H530" s="54"/>
      <c r="I530" s="54"/>
      <c r="J530" s="54"/>
      <c r="K530" s="54"/>
      <c r="L530" s="54"/>
      <c r="M530" s="54"/>
      <c r="N530" s="54"/>
    </row>
    <row r="531" ht="14.25" customHeight="1">
      <c r="A531" s="54"/>
      <c r="B531" s="54"/>
      <c r="C531" s="54"/>
      <c r="D531" s="54"/>
      <c r="E531" s="54"/>
      <c r="F531" s="54"/>
      <c r="G531" s="54"/>
      <c r="H531" s="54"/>
      <c r="I531" s="54"/>
      <c r="J531" s="54"/>
      <c r="K531" s="54"/>
      <c r="L531" s="54"/>
      <c r="M531" s="54"/>
      <c r="N531" s="54"/>
    </row>
    <row r="532" ht="14.25" customHeight="1">
      <c r="A532" s="54"/>
      <c r="B532" s="54"/>
      <c r="C532" s="54"/>
      <c r="D532" s="54"/>
      <c r="E532" s="54"/>
      <c r="F532" s="54"/>
      <c r="G532" s="54"/>
      <c r="H532" s="54"/>
      <c r="I532" s="54"/>
      <c r="J532" s="54"/>
      <c r="K532" s="54"/>
      <c r="L532" s="54"/>
      <c r="M532" s="54"/>
      <c r="N532" s="54"/>
    </row>
    <row r="533" ht="14.25" customHeight="1">
      <c r="A533" s="54"/>
      <c r="B533" s="54"/>
      <c r="C533" s="54"/>
      <c r="D533" s="54"/>
      <c r="E533" s="54"/>
      <c r="F533" s="54"/>
      <c r="G533" s="54"/>
      <c r="H533" s="54"/>
      <c r="I533" s="54"/>
      <c r="J533" s="54"/>
      <c r="K533" s="54"/>
      <c r="L533" s="54"/>
      <c r="M533" s="54"/>
      <c r="N533" s="54"/>
    </row>
    <row r="534" ht="14.25" customHeight="1">
      <c r="A534" s="54"/>
      <c r="B534" s="54"/>
      <c r="C534" s="54"/>
      <c r="D534" s="54"/>
      <c r="E534" s="54"/>
      <c r="F534" s="54"/>
      <c r="G534" s="54"/>
      <c r="H534" s="54"/>
      <c r="I534" s="54"/>
      <c r="J534" s="54"/>
      <c r="K534" s="54"/>
      <c r="L534" s="54"/>
      <c r="M534" s="54"/>
      <c r="N534" s="54"/>
    </row>
    <row r="535" ht="14.25" customHeight="1">
      <c r="A535" s="54"/>
      <c r="B535" s="54"/>
      <c r="C535" s="54"/>
      <c r="D535" s="54"/>
      <c r="E535" s="54"/>
      <c r="F535" s="54"/>
      <c r="G535" s="54"/>
      <c r="H535" s="54"/>
      <c r="I535" s="54"/>
      <c r="J535" s="54"/>
      <c r="K535" s="54"/>
      <c r="L535" s="54"/>
      <c r="M535" s="54"/>
      <c r="N535" s="54"/>
    </row>
    <row r="536" ht="14.25" customHeight="1">
      <c r="A536" s="54"/>
      <c r="B536" s="54"/>
      <c r="C536" s="54"/>
      <c r="D536" s="54"/>
      <c r="E536" s="54"/>
      <c r="F536" s="54"/>
      <c r="G536" s="54"/>
      <c r="H536" s="54"/>
      <c r="I536" s="54"/>
      <c r="J536" s="54"/>
      <c r="K536" s="54"/>
      <c r="L536" s="54"/>
      <c r="M536" s="54"/>
      <c r="N536" s="54"/>
    </row>
    <row r="537" ht="14.25" customHeight="1">
      <c r="A537" s="54"/>
      <c r="B537" s="54"/>
      <c r="C537" s="54"/>
      <c r="D537" s="54"/>
      <c r="E537" s="54"/>
      <c r="F537" s="54"/>
      <c r="G537" s="54"/>
      <c r="H537" s="54"/>
      <c r="I537" s="54"/>
      <c r="J537" s="54"/>
      <c r="K537" s="54"/>
      <c r="L537" s="54"/>
      <c r="M537" s="54"/>
      <c r="N537" s="54"/>
    </row>
    <row r="538" ht="14.25" customHeight="1">
      <c r="A538" s="54"/>
      <c r="B538" s="54"/>
      <c r="C538" s="54"/>
      <c r="D538" s="54"/>
      <c r="E538" s="54"/>
      <c r="F538" s="54"/>
      <c r="G538" s="54"/>
      <c r="H538" s="54"/>
      <c r="I538" s="54"/>
      <c r="J538" s="54"/>
      <c r="K538" s="54"/>
      <c r="L538" s="54"/>
      <c r="M538" s="54"/>
      <c r="N538" s="54"/>
    </row>
    <row r="539" ht="14.25" customHeight="1">
      <c r="A539" s="54"/>
      <c r="B539" s="54"/>
      <c r="C539" s="54"/>
      <c r="D539" s="54"/>
      <c r="E539" s="54"/>
      <c r="F539" s="54"/>
      <c r="G539" s="54"/>
      <c r="H539" s="54"/>
      <c r="I539" s="54"/>
      <c r="J539" s="54"/>
      <c r="K539" s="54"/>
      <c r="L539" s="54"/>
      <c r="M539" s="54"/>
      <c r="N539" s="54"/>
    </row>
    <row r="540" ht="14.25" customHeight="1">
      <c r="A540" s="54"/>
      <c r="B540" s="54"/>
      <c r="C540" s="54"/>
      <c r="D540" s="54"/>
      <c r="E540" s="54"/>
      <c r="F540" s="54"/>
      <c r="G540" s="54"/>
      <c r="H540" s="54"/>
      <c r="I540" s="54"/>
      <c r="J540" s="54"/>
      <c r="K540" s="54"/>
      <c r="L540" s="54"/>
      <c r="M540" s="54"/>
      <c r="N540" s="54"/>
    </row>
    <row r="541" ht="14.25" customHeight="1">
      <c r="A541" s="54"/>
      <c r="B541" s="54"/>
      <c r="C541" s="54"/>
      <c r="D541" s="54"/>
      <c r="E541" s="54"/>
      <c r="F541" s="54"/>
      <c r="G541" s="54"/>
      <c r="H541" s="54"/>
      <c r="I541" s="54"/>
      <c r="J541" s="54"/>
      <c r="K541" s="54"/>
      <c r="L541" s="54"/>
      <c r="M541" s="54"/>
      <c r="N541" s="54"/>
    </row>
    <row r="542" ht="14.25" customHeight="1">
      <c r="A542" s="54"/>
      <c r="B542" s="54"/>
      <c r="C542" s="54"/>
      <c r="D542" s="54"/>
      <c r="E542" s="54"/>
      <c r="F542" s="54"/>
      <c r="G542" s="54"/>
      <c r="H542" s="54"/>
      <c r="I542" s="54"/>
      <c r="J542" s="54"/>
      <c r="K542" s="54"/>
      <c r="L542" s="54"/>
      <c r="M542" s="54"/>
      <c r="N542" s="54"/>
    </row>
    <row r="543" ht="14.25" customHeight="1">
      <c r="A543" s="54"/>
      <c r="B543" s="54"/>
      <c r="C543" s="54"/>
      <c r="D543" s="54"/>
      <c r="E543" s="54"/>
      <c r="F543" s="54"/>
      <c r="G543" s="54"/>
      <c r="H543" s="54"/>
      <c r="I543" s="54"/>
      <c r="J543" s="54"/>
      <c r="K543" s="54"/>
      <c r="L543" s="54"/>
      <c r="M543" s="54"/>
      <c r="N543" s="54"/>
    </row>
    <row r="544" ht="14.25" customHeight="1">
      <c r="A544" s="54"/>
      <c r="B544" s="54"/>
      <c r="C544" s="54"/>
      <c r="D544" s="54"/>
      <c r="E544" s="54"/>
      <c r="F544" s="54"/>
      <c r="G544" s="54"/>
      <c r="H544" s="54"/>
      <c r="I544" s="54"/>
      <c r="J544" s="54"/>
      <c r="K544" s="54"/>
      <c r="L544" s="54"/>
      <c r="M544" s="54"/>
      <c r="N544" s="54"/>
    </row>
    <row r="545" ht="14.25" customHeight="1">
      <c r="A545" s="54"/>
      <c r="B545" s="54"/>
      <c r="C545" s="54"/>
      <c r="D545" s="54"/>
      <c r="E545" s="54"/>
      <c r="F545" s="54"/>
      <c r="G545" s="54"/>
      <c r="H545" s="54"/>
      <c r="I545" s="54"/>
      <c r="J545" s="54"/>
      <c r="K545" s="54"/>
      <c r="L545" s="54"/>
      <c r="M545" s="54"/>
      <c r="N545" s="54"/>
    </row>
    <row r="546" ht="14.25" customHeight="1">
      <c r="A546" s="54"/>
      <c r="B546" s="54"/>
      <c r="C546" s="54"/>
      <c r="D546" s="54"/>
      <c r="E546" s="54"/>
      <c r="F546" s="54"/>
      <c r="G546" s="54"/>
      <c r="H546" s="54"/>
      <c r="I546" s="54"/>
      <c r="J546" s="54"/>
      <c r="K546" s="54"/>
      <c r="L546" s="54"/>
      <c r="M546" s="54"/>
      <c r="N546" s="54"/>
    </row>
    <row r="547" ht="14.25" customHeight="1">
      <c r="A547" s="54"/>
      <c r="B547" s="54"/>
      <c r="C547" s="54"/>
      <c r="D547" s="54"/>
      <c r="E547" s="54"/>
      <c r="F547" s="54"/>
      <c r="G547" s="54"/>
      <c r="H547" s="54"/>
      <c r="I547" s="54"/>
      <c r="J547" s="54"/>
      <c r="K547" s="54"/>
      <c r="L547" s="54"/>
      <c r="M547" s="54"/>
      <c r="N547" s="54"/>
    </row>
    <row r="548" ht="14.25" customHeight="1">
      <c r="A548" s="54"/>
      <c r="B548" s="54"/>
      <c r="C548" s="54"/>
      <c r="D548" s="54"/>
      <c r="E548" s="54"/>
      <c r="F548" s="54"/>
      <c r="G548" s="54"/>
      <c r="H548" s="54"/>
      <c r="I548" s="54"/>
      <c r="J548" s="54"/>
      <c r="K548" s="54"/>
      <c r="L548" s="54"/>
      <c r="M548" s="54"/>
      <c r="N548" s="54"/>
    </row>
    <row r="549" ht="14.25" customHeight="1">
      <c r="A549" s="54"/>
      <c r="B549" s="54"/>
      <c r="C549" s="54"/>
      <c r="D549" s="54"/>
      <c r="E549" s="54"/>
      <c r="F549" s="54"/>
      <c r="G549" s="54"/>
      <c r="H549" s="54"/>
      <c r="I549" s="54"/>
      <c r="J549" s="54"/>
      <c r="K549" s="54"/>
      <c r="L549" s="54"/>
      <c r="M549" s="54"/>
      <c r="N549" s="54"/>
    </row>
    <row r="550" ht="14.25" customHeight="1">
      <c r="A550" s="54"/>
      <c r="B550" s="54"/>
      <c r="C550" s="54"/>
      <c r="D550" s="54"/>
      <c r="E550" s="54"/>
      <c r="F550" s="54"/>
      <c r="G550" s="54"/>
      <c r="H550" s="54"/>
      <c r="I550" s="54"/>
      <c r="J550" s="54"/>
      <c r="K550" s="54"/>
      <c r="L550" s="54"/>
      <c r="M550" s="54"/>
      <c r="N550" s="54"/>
    </row>
    <row r="551" ht="14.25" customHeight="1">
      <c r="A551" s="54"/>
      <c r="B551" s="54"/>
      <c r="C551" s="54"/>
      <c r="D551" s="54"/>
      <c r="E551" s="54"/>
      <c r="F551" s="54"/>
      <c r="G551" s="54"/>
      <c r="H551" s="54"/>
      <c r="I551" s="54"/>
      <c r="J551" s="54"/>
      <c r="K551" s="54"/>
      <c r="L551" s="54"/>
      <c r="M551" s="54"/>
      <c r="N551" s="54"/>
    </row>
    <row r="552" ht="14.25" customHeight="1">
      <c r="A552" s="54"/>
      <c r="B552" s="54"/>
      <c r="C552" s="54"/>
      <c r="D552" s="54"/>
      <c r="E552" s="54"/>
      <c r="F552" s="54"/>
      <c r="G552" s="54"/>
      <c r="H552" s="54"/>
      <c r="I552" s="54"/>
      <c r="J552" s="54"/>
      <c r="K552" s="54"/>
      <c r="L552" s="54"/>
      <c r="M552" s="54"/>
      <c r="N552" s="54"/>
    </row>
    <row r="553" ht="14.25" customHeight="1">
      <c r="A553" s="54"/>
      <c r="B553" s="54"/>
      <c r="C553" s="54"/>
      <c r="D553" s="54"/>
      <c r="E553" s="54"/>
      <c r="F553" s="54"/>
      <c r="G553" s="54"/>
      <c r="H553" s="54"/>
      <c r="I553" s="54"/>
      <c r="J553" s="54"/>
      <c r="K553" s="54"/>
      <c r="L553" s="54"/>
      <c r="M553" s="54"/>
      <c r="N553" s="54"/>
    </row>
    <row r="554" ht="14.25" customHeight="1">
      <c r="A554" s="54"/>
      <c r="B554" s="54"/>
      <c r="C554" s="54"/>
      <c r="D554" s="54"/>
      <c r="E554" s="54"/>
      <c r="F554" s="54"/>
      <c r="G554" s="54"/>
      <c r="H554" s="54"/>
      <c r="I554" s="54"/>
      <c r="J554" s="54"/>
      <c r="K554" s="54"/>
      <c r="L554" s="54"/>
      <c r="M554" s="54"/>
      <c r="N554" s="54"/>
    </row>
    <row r="555" ht="14.25" customHeight="1">
      <c r="A555" s="54"/>
      <c r="B555" s="54"/>
      <c r="C555" s="54"/>
      <c r="D555" s="54"/>
      <c r="E555" s="54"/>
      <c r="F555" s="54"/>
      <c r="G555" s="54"/>
      <c r="H555" s="54"/>
      <c r="I555" s="54"/>
      <c r="J555" s="54"/>
      <c r="K555" s="54"/>
      <c r="L555" s="54"/>
      <c r="M555" s="54"/>
      <c r="N555" s="54"/>
    </row>
    <row r="556" ht="14.25" customHeight="1">
      <c r="A556" s="54"/>
      <c r="B556" s="54"/>
      <c r="C556" s="54"/>
      <c r="D556" s="54"/>
      <c r="E556" s="54"/>
      <c r="F556" s="54"/>
      <c r="G556" s="54"/>
      <c r="H556" s="54"/>
      <c r="I556" s="54"/>
      <c r="J556" s="54"/>
      <c r="K556" s="54"/>
      <c r="L556" s="54"/>
      <c r="M556" s="54"/>
      <c r="N556" s="54"/>
    </row>
    <row r="557" ht="14.25" customHeight="1">
      <c r="A557" s="54"/>
      <c r="B557" s="54"/>
      <c r="C557" s="54"/>
      <c r="D557" s="54"/>
      <c r="E557" s="54"/>
      <c r="F557" s="54"/>
      <c r="G557" s="54"/>
      <c r="H557" s="54"/>
      <c r="I557" s="54"/>
      <c r="J557" s="54"/>
      <c r="K557" s="54"/>
      <c r="L557" s="54"/>
      <c r="M557" s="54"/>
      <c r="N557" s="54"/>
    </row>
    <row r="558" ht="14.25" customHeight="1">
      <c r="A558" s="54"/>
      <c r="B558" s="54"/>
      <c r="C558" s="54"/>
      <c r="D558" s="54"/>
      <c r="E558" s="54"/>
      <c r="F558" s="54"/>
      <c r="G558" s="54"/>
      <c r="H558" s="54"/>
      <c r="I558" s="54"/>
      <c r="J558" s="54"/>
      <c r="K558" s="54"/>
      <c r="L558" s="54"/>
      <c r="M558" s="54"/>
      <c r="N558" s="54"/>
    </row>
    <row r="559" ht="14.25" customHeight="1">
      <c r="A559" s="54"/>
      <c r="B559" s="54"/>
      <c r="C559" s="54"/>
      <c r="D559" s="54"/>
      <c r="E559" s="54"/>
      <c r="F559" s="54"/>
      <c r="G559" s="54"/>
      <c r="H559" s="54"/>
      <c r="I559" s="54"/>
      <c r="J559" s="54"/>
      <c r="K559" s="54"/>
      <c r="L559" s="54"/>
      <c r="M559" s="54"/>
      <c r="N559" s="54"/>
    </row>
    <row r="560" ht="14.25" customHeight="1">
      <c r="A560" s="54"/>
      <c r="B560" s="54"/>
      <c r="C560" s="54"/>
      <c r="D560" s="54"/>
      <c r="E560" s="54"/>
      <c r="F560" s="54"/>
      <c r="G560" s="54"/>
      <c r="H560" s="54"/>
      <c r="I560" s="54"/>
      <c r="J560" s="54"/>
      <c r="K560" s="54"/>
      <c r="L560" s="54"/>
      <c r="M560" s="54"/>
      <c r="N560" s="54"/>
    </row>
    <row r="561" ht="14.25" customHeight="1">
      <c r="A561" s="54"/>
      <c r="B561" s="54"/>
      <c r="C561" s="54"/>
      <c r="D561" s="54"/>
      <c r="E561" s="54"/>
      <c r="F561" s="54"/>
      <c r="G561" s="54"/>
      <c r="H561" s="54"/>
      <c r="I561" s="54"/>
      <c r="J561" s="54"/>
      <c r="K561" s="54"/>
      <c r="L561" s="54"/>
      <c r="M561" s="54"/>
      <c r="N561" s="54"/>
    </row>
    <row r="562" ht="14.25" customHeight="1">
      <c r="A562" s="54"/>
      <c r="B562" s="54"/>
      <c r="C562" s="54"/>
      <c r="D562" s="54"/>
      <c r="E562" s="54"/>
      <c r="F562" s="54"/>
      <c r="G562" s="54"/>
      <c r="H562" s="54"/>
      <c r="I562" s="54"/>
      <c r="J562" s="54"/>
      <c r="K562" s="54"/>
      <c r="L562" s="54"/>
      <c r="M562" s="54"/>
      <c r="N562" s="54"/>
    </row>
    <row r="563" ht="14.25" customHeight="1">
      <c r="A563" s="54"/>
      <c r="B563" s="54"/>
      <c r="C563" s="54"/>
      <c r="D563" s="54"/>
      <c r="E563" s="54"/>
      <c r="F563" s="54"/>
      <c r="G563" s="54"/>
      <c r="H563" s="54"/>
      <c r="I563" s="54"/>
      <c r="J563" s="54"/>
      <c r="K563" s="54"/>
      <c r="L563" s="54"/>
      <c r="M563" s="54"/>
      <c r="N563" s="54"/>
    </row>
    <row r="564" ht="14.25" customHeight="1">
      <c r="A564" s="54"/>
      <c r="B564" s="54"/>
      <c r="C564" s="54"/>
      <c r="D564" s="54"/>
      <c r="E564" s="54"/>
      <c r="F564" s="54"/>
      <c r="G564" s="54"/>
      <c r="H564" s="54"/>
      <c r="I564" s="54"/>
      <c r="J564" s="54"/>
      <c r="K564" s="54"/>
      <c r="L564" s="54"/>
      <c r="M564" s="54"/>
      <c r="N564" s="54"/>
    </row>
    <row r="565" ht="14.25" customHeight="1">
      <c r="A565" s="54"/>
      <c r="B565" s="54"/>
      <c r="C565" s="54"/>
      <c r="D565" s="54"/>
      <c r="E565" s="54"/>
      <c r="F565" s="54"/>
      <c r="G565" s="54"/>
      <c r="H565" s="54"/>
      <c r="I565" s="54"/>
      <c r="J565" s="54"/>
      <c r="K565" s="54"/>
      <c r="L565" s="54"/>
      <c r="M565" s="54"/>
      <c r="N565" s="54"/>
    </row>
    <row r="566" ht="14.25" customHeight="1">
      <c r="A566" s="54"/>
      <c r="B566" s="54"/>
      <c r="C566" s="54"/>
      <c r="D566" s="54"/>
      <c r="E566" s="54"/>
      <c r="F566" s="54"/>
      <c r="G566" s="54"/>
      <c r="H566" s="54"/>
      <c r="I566" s="54"/>
      <c r="J566" s="54"/>
      <c r="K566" s="54"/>
      <c r="L566" s="54"/>
      <c r="M566" s="54"/>
      <c r="N566" s="54"/>
    </row>
    <row r="567" ht="14.25" customHeight="1">
      <c r="A567" s="54"/>
      <c r="B567" s="54"/>
      <c r="C567" s="54"/>
      <c r="D567" s="54"/>
      <c r="E567" s="54"/>
      <c r="F567" s="54"/>
      <c r="G567" s="54"/>
      <c r="H567" s="54"/>
      <c r="I567" s="54"/>
      <c r="J567" s="54"/>
      <c r="K567" s="54"/>
      <c r="L567" s="54"/>
      <c r="M567" s="54"/>
      <c r="N567" s="54"/>
    </row>
    <row r="568" ht="14.25" customHeight="1">
      <c r="A568" s="54"/>
      <c r="B568" s="54"/>
      <c r="C568" s="54"/>
      <c r="D568" s="54"/>
      <c r="E568" s="54"/>
      <c r="F568" s="54"/>
      <c r="G568" s="54"/>
      <c r="H568" s="54"/>
      <c r="I568" s="54"/>
      <c r="J568" s="54"/>
      <c r="K568" s="54"/>
      <c r="L568" s="54"/>
      <c r="M568" s="54"/>
      <c r="N568" s="54"/>
    </row>
    <row r="569" ht="14.25" customHeight="1">
      <c r="A569" s="54"/>
      <c r="B569" s="54"/>
      <c r="C569" s="54"/>
      <c r="D569" s="54"/>
      <c r="E569" s="54"/>
      <c r="F569" s="54"/>
      <c r="G569" s="54"/>
      <c r="H569" s="54"/>
      <c r="I569" s="54"/>
      <c r="J569" s="54"/>
      <c r="K569" s="54"/>
      <c r="L569" s="54"/>
      <c r="M569" s="54"/>
      <c r="N569" s="54"/>
    </row>
    <row r="570" ht="14.25" customHeight="1">
      <c r="A570" s="54"/>
      <c r="B570" s="54"/>
      <c r="C570" s="54"/>
      <c r="D570" s="54"/>
      <c r="E570" s="54"/>
      <c r="F570" s="54"/>
      <c r="G570" s="54"/>
      <c r="H570" s="54"/>
      <c r="I570" s="54"/>
      <c r="J570" s="54"/>
      <c r="K570" s="54"/>
      <c r="L570" s="54"/>
      <c r="M570" s="54"/>
      <c r="N570" s="54"/>
    </row>
    <row r="571" ht="14.25" customHeight="1">
      <c r="A571" s="54"/>
      <c r="B571" s="54"/>
      <c r="C571" s="54"/>
      <c r="D571" s="54"/>
      <c r="E571" s="54"/>
      <c r="F571" s="54"/>
      <c r="G571" s="54"/>
      <c r="H571" s="54"/>
      <c r="I571" s="54"/>
      <c r="J571" s="54"/>
      <c r="K571" s="54"/>
      <c r="L571" s="54"/>
      <c r="M571" s="54"/>
      <c r="N571" s="54"/>
    </row>
    <row r="572" ht="14.25" customHeight="1">
      <c r="A572" s="54"/>
      <c r="B572" s="54"/>
      <c r="C572" s="54"/>
      <c r="D572" s="54"/>
      <c r="E572" s="54"/>
      <c r="F572" s="54"/>
      <c r="G572" s="54"/>
      <c r="H572" s="54"/>
      <c r="I572" s="54"/>
      <c r="J572" s="54"/>
      <c r="K572" s="54"/>
      <c r="L572" s="54"/>
      <c r="M572" s="54"/>
      <c r="N572" s="54"/>
    </row>
    <row r="573" ht="14.25" customHeight="1">
      <c r="A573" s="54"/>
      <c r="B573" s="54"/>
      <c r="C573" s="54"/>
      <c r="D573" s="54"/>
      <c r="E573" s="54"/>
      <c r="F573" s="54"/>
      <c r="G573" s="54"/>
      <c r="H573" s="54"/>
      <c r="I573" s="54"/>
      <c r="J573" s="54"/>
      <c r="K573" s="54"/>
      <c r="L573" s="54"/>
      <c r="M573" s="54"/>
      <c r="N573" s="54"/>
    </row>
    <row r="574" ht="14.25" customHeight="1">
      <c r="A574" s="54"/>
      <c r="B574" s="54"/>
      <c r="C574" s="54"/>
      <c r="D574" s="54"/>
      <c r="E574" s="54"/>
      <c r="F574" s="54"/>
      <c r="G574" s="54"/>
      <c r="H574" s="54"/>
      <c r="I574" s="54"/>
      <c r="J574" s="54"/>
      <c r="K574" s="54"/>
      <c r="L574" s="54"/>
      <c r="M574" s="54"/>
      <c r="N574" s="54"/>
    </row>
    <row r="575" ht="14.25" customHeight="1">
      <c r="A575" s="54"/>
      <c r="B575" s="54"/>
      <c r="C575" s="54"/>
      <c r="D575" s="54"/>
      <c r="E575" s="54"/>
      <c r="F575" s="54"/>
      <c r="G575" s="54"/>
      <c r="H575" s="54"/>
      <c r="I575" s="54"/>
      <c r="J575" s="54"/>
      <c r="K575" s="54"/>
      <c r="L575" s="54"/>
      <c r="M575" s="54"/>
      <c r="N575" s="54"/>
    </row>
    <row r="576" ht="14.25" customHeight="1">
      <c r="A576" s="54"/>
      <c r="B576" s="54"/>
      <c r="C576" s="54"/>
      <c r="D576" s="54"/>
      <c r="E576" s="54"/>
      <c r="F576" s="54"/>
      <c r="G576" s="54"/>
      <c r="H576" s="54"/>
      <c r="I576" s="54"/>
      <c r="J576" s="54"/>
      <c r="K576" s="54"/>
      <c r="L576" s="54"/>
      <c r="M576" s="54"/>
      <c r="N576" s="54"/>
    </row>
    <row r="577" ht="14.25" customHeight="1">
      <c r="A577" s="54"/>
      <c r="B577" s="54"/>
      <c r="C577" s="54"/>
      <c r="D577" s="54"/>
      <c r="E577" s="54"/>
      <c r="F577" s="54"/>
      <c r="G577" s="54"/>
      <c r="H577" s="54"/>
      <c r="I577" s="54"/>
      <c r="J577" s="54"/>
      <c r="K577" s="54"/>
      <c r="L577" s="54"/>
      <c r="M577" s="54"/>
      <c r="N577" s="54"/>
    </row>
    <row r="578" ht="14.25" customHeight="1">
      <c r="A578" s="54"/>
      <c r="B578" s="54"/>
      <c r="C578" s="54"/>
      <c r="D578" s="54"/>
      <c r="E578" s="54"/>
      <c r="F578" s="54"/>
      <c r="G578" s="54"/>
      <c r="H578" s="54"/>
      <c r="I578" s="54"/>
      <c r="J578" s="54"/>
      <c r="K578" s="54"/>
      <c r="L578" s="54"/>
      <c r="M578" s="54"/>
      <c r="N578" s="54"/>
    </row>
    <row r="579" ht="14.25" customHeight="1">
      <c r="A579" s="54"/>
      <c r="B579" s="54"/>
      <c r="C579" s="54"/>
      <c r="D579" s="54"/>
      <c r="E579" s="54"/>
      <c r="F579" s="54"/>
      <c r="G579" s="54"/>
      <c r="H579" s="54"/>
      <c r="I579" s="54"/>
      <c r="J579" s="54"/>
      <c r="K579" s="54"/>
      <c r="L579" s="54"/>
      <c r="M579" s="54"/>
      <c r="N579" s="54"/>
    </row>
    <row r="580" ht="14.25" customHeight="1">
      <c r="A580" s="54"/>
      <c r="B580" s="54"/>
      <c r="C580" s="54"/>
      <c r="D580" s="54"/>
      <c r="E580" s="54"/>
      <c r="F580" s="54"/>
      <c r="G580" s="54"/>
      <c r="H580" s="54"/>
      <c r="I580" s="54"/>
      <c r="J580" s="54"/>
      <c r="K580" s="54"/>
      <c r="L580" s="54"/>
      <c r="M580" s="54"/>
      <c r="N580" s="54"/>
    </row>
    <row r="581" ht="14.25" customHeight="1">
      <c r="A581" s="54"/>
      <c r="B581" s="54"/>
      <c r="C581" s="54"/>
      <c r="D581" s="54"/>
      <c r="E581" s="54"/>
      <c r="F581" s="54"/>
      <c r="G581" s="54"/>
      <c r="H581" s="54"/>
      <c r="I581" s="54"/>
      <c r="J581" s="54"/>
      <c r="K581" s="54"/>
      <c r="L581" s="54"/>
      <c r="M581" s="54"/>
      <c r="N581" s="54"/>
    </row>
    <row r="582" ht="14.25" customHeight="1">
      <c r="A582" s="54"/>
      <c r="B582" s="54"/>
      <c r="C582" s="54"/>
      <c r="D582" s="54"/>
      <c r="E582" s="54"/>
      <c r="F582" s="54"/>
      <c r="G582" s="54"/>
      <c r="H582" s="54"/>
      <c r="I582" s="54"/>
      <c r="J582" s="54"/>
      <c r="K582" s="54"/>
      <c r="L582" s="54"/>
      <c r="M582" s="54"/>
      <c r="N582" s="54"/>
    </row>
    <row r="583" ht="14.25" customHeight="1">
      <c r="A583" s="54"/>
      <c r="B583" s="54"/>
      <c r="C583" s="54"/>
      <c r="D583" s="54"/>
      <c r="E583" s="54"/>
      <c r="F583" s="54"/>
      <c r="G583" s="54"/>
      <c r="H583" s="54"/>
      <c r="I583" s="54"/>
      <c r="J583" s="54"/>
      <c r="K583" s="54"/>
      <c r="L583" s="54"/>
      <c r="M583" s="54"/>
      <c r="N583" s="54"/>
    </row>
    <row r="584" ht="14.25" customHeight="1">
      <c r="A584" s="54"/>
      <c r="B584" s="54"/>
      <c r="C584" s="54"/>
      <c r="D584" s="54"/>
      <c r="E584" s="54"/>
      <c r="F584" s="54"/>
      <c r="G584" s="54"/>
      <c r="H584" s="54"/>
      <c r="I584" s="54"/>
      <c r="J584" s="54"/>
      <c r="K584" s="54"/>
      <c r="L584" s="54"/>
      <c r="M584" s="54"/>
      <c r="N584" s="54"/>
    </row>
    <row r="585" ht="14.25" customHeight="1">
      <c r="A585" s="54"/>
      <c r="B585" s="54"/>
      <c r="C585" s="54"/>
      <c r="D585" s="54"/>
      <c r="E585" s="54"/>
      <c r="F585" s="54"/>
      <c r="G585" s="54"/>
      <c r="H585" s="54"/>
      <c r="I585" s="54"/>
      <c r="J585" s="54"/>
      <c r="K585" s="54"/>
      <c r="L585" s="54"/>
      <c r="M585" s="54"/>
      <c r="N585" s="54"/>
    </row>
    <row r="586" ht="14.25" customHeight="1">
      <c r="A586" s="54"/>
      <c r="B586" s="54"/>
      <c r="C586" s="54"/>
      <c r="D586" s="54"/>
      <c r="E586" s="54"/>
      <c r="F586" s="54"/>
      <c r="G586" s="54"/>
      <c r="H586" s="54"/>
      <c r="I586" s="54"/>
      <c r="J586" s="54"/>
      <c r="K586" s="54"/>
      <c r="L586" s="54"/>
      <c r="M586" s="54"/>
      <c r="N586" s="54"/>
    </row>
    <row r="587" ht="14.25" customHeight="1">
      <c r="A587" s="54"/>
      <c r="B587" s="54"/>
      <c r="C587" s="54"/>
      <c r="D587" s="54"/>
      <c r="E587" s="54"/>
      <c r="F587" s="54"/>
      <c r="G587" s="54"/>
      <c r="H587" s="54"/>
      <c r="I587" s="54"/>
      <c r="J587" s="54"/>
      <c r="K587" s="54"/>
      <c r="L587" s="54"/>
      <c r="M587" s="54"/>
      <c r="N587" s="54"/>
    </row>
    <row r="588" ht="14.25" customHeight="1">
      <c r="A588" s="54"/>
      <c r="B588" s="54"/>
      <c r="C588" s="54"/>
      <c r="D588" s="54"/>
      <c r="E588" s="54"/>
      <c r="F588" s="54"/>
      <c r="G588" s="54"/>
      <c r="H588" s="54"/>
      <c r="I588" s="54"/>
      <c r="J588" s="54"/>
      <c r="K588" s="54"/>
      <c r="L588" s="54"/>
      <c r="M588" s="54"/>
      <c r="N588" s="54"/>
    </row>
    <row r="589" ht="14.25" customHeight="1">
      <c r="A589" s="54"/>
      <c r="B589" s="54"/>
      <c r="C589" s="54"/>
      <c r="D589" s="54"/>
      <c r="E589" s="54"/>
      <c r="F589" s="54"/>
      <c r="G589" s="54"/>
      <c r="H589" s="54"/>
      <c r="I589" s="54"/>
      <c r="J589" s="54"/>
      <c r="K589" s="54"/>
      <c r="L589" s="54"/>
      <c r="M589" s="54"/>
      <c r="N589" s="54"/>
    </row>
    <row r="590" ht="14.25" customHeight="1">
      <c r="A590" s="54"/>
      <c r="B590" s="54"/>
      <c r="C590" s="54"/>
      <c r="D590" s="54"/>
      <c r="E590" s="54"/>
      <c r="F590" s="54"/>
      <c r="G590" s="54"/>
      <c r="H590" s="54"/>
      <c r="I590" s="54"/>
      <c r="J590" s="54"/>
      <c r="K590" s="54"/>
      <c r="L590" s="54"/>
      <c r="M590" s="54"/>
      <c r="N590" s="54"/>
    </row>
    <row r="591" ht="14.25" customHeight="1">
      <c r="A591" s="54"/>
      <c r="B591" s="54"/>
      <c r="C591" s="54"/>
      <c r="D591" s="54"/>
      <c r="E591" s="54"/>
      <c r="F591" s="54"/>
      <c r="G591" s="54"/>
      <c r="H591" s="54"/>
      <c r="I591" s="54"/>
      <c r="J591" s="54"/>
      <c r="K591" s="54"/>
      <c r="L591" s="54"/>
      <c r="M591" s="54"/>
      <c r="N591" s="54"/>
    </row>
    <row r="592" ht="14.25" customHeight="1">
      <c r="A592" s="54"/>
      <c r="B592" s="54"/>
      <c r="C592" s="54"/>
      <c r="D592" s="54"/>
      <c r="E592" s="54"/>
      <c r="F592" s="54"/>
      <c r="G592" s="54"/>
      <c r="H592" s="54"/>
      <c r="I592" s="54"/>
      <c r="J592" s="54"/>
      <c r="K592" s="54"/>
      <c r="L592" s="54"/>
      <c r="M592" s="54"/>
      <c r="N592" s="54"/>
    </row>
    <row r="593" ht="14.25" customHeight="1">
      <c r="A593" s="54"/>
      <c r="B593" s="54"/>
      <c r="C593" s="54"/>
      <c r="D593" s="54"/>
      <c r="E593" s="54"/>
      <c r="F593" s="54"/>
      <c r="G593" s="54"/>
      <c r="H593" s="54"/>
      <c r="I593" s="54"/>
      <c r="J593" s="54"/>
      <c r="K593" s="54"/>
      <c r="L593" s="54"/>
      <c r="M593" s="54"/>
      <c r="N593" s="54"/>
    </row>
    <row r="594" ht="14.25" customHeight="1">
      <c r="A594" s="54"/>
      <c r="B594" s="54"/>
      <c r="C594" s="54"/>
      <c r="D594" s="54"/>
      <c r="E594" s="54"/>
      <c r="F594" s="54"/>
      <c r="G594" s="54"/>
      <c r="H594" s="54"/>
      <c r="I594" s="54"/>
      <c r="J594" s="54"/>
      <c r="K594" s="54"/>
      <c r="L594" s="54"/>
      <c r="M594" s="54"/>
      <c r="N594" s="54"/>
    </row>
    <row r="595" ht="14.25" customHeight="1">
      <c r="A595" s="54"/>
      <c r="B595" s="54"/>
      <c r="C595" s="54"/>
      <c r="D595" s="54"/>
      <c r="E595" s="54"/>
      <c r="F595" s="54"/>
      <c r="G595" s="54"/>
      <c r="H595" s="54"/>
      <c r="I595" s="54"/>
      <c r="J595" s="54"/>
      <c r="K595" s="54"/>
      <c r="L595" s="54"/>
      <c r="M595" s="54"/>
      <c r="N595" s="54"/>
    </row>
    <row r="596" ht="14.25" customHeight="1">
      <c r="A596" s="54"/>
      <c r="B596" s="54"/>
      <c r="C596" s="54"/>
      <c r="D596" s="54"/>
      <c r="E596" s="54"/>
      <c r="F596" s="54"/>
      <c r="G596" s="54"/>
      <c r="H596" s="54"/>
      <c r="I596" s="54"/>
      <c r="J596" s="54"/>
      <c r="K596" s="54"/>
      <c r="L596" s="54"/>
      <c r="M596" s="54"/>
      <c r="N596" s="54"/>
    </row>
    <row r="597" ht="14.25" customHeight="1">
      <c r="A597" s="54"/>
      <c r="B597" s="54"/>
      <c r="C597" s="54"/>
      <c r="D597" s="54"/>
      <c r="E597" s="54"/>
      <c r="F597" s="54"/>
      <c r="G597" s="54"/>
      <c r="H597" s="54"/>
      <c r="I597" s="54"/>
      <c r="J597" s="54"/>
      <c r="K597" s="54"/>
      <c r="L597" s="54"/>
      <c r="M597" s="54"/>
      <c r="N597" s="54"/>
    </row>
    <row r="598" ht="14.25" customHeight="1">
      <c r="A598" s="54"/>
      <c r="B598" s="54"/>
      <c r="C598" s="54"/>
      <c r="D598" s="54"/>
      <c r="E598" s="54"/>
      <c r="F598" s="54"/>
      <c r="G598" s="54"/>
      <c r="H598" s="54"/>
      <c r="I598" s="54"/>
      <c r="J598" s="54"/>
      <c r="K598" s="54"/>
      <c r="L598" s="54"/>
      <c r="M598" s="54"/>
      <c r="N598" s="54"/>
    </row>
    <row r="599" ht="14.25" customHeight="1">
      <c r="A599" s="54"/>
      <c r="B599" s="54"/>
      <c r="C599" s="54"/>
      <c r="D599" s="54"/>
      <c r="E599" s="54"/>
      <c r="F599" s="54"/>
      <c r="G599" s="54"/>
      <c r="H599" s="54"/>
      <c r="I599" s="54"/>
      <c r="J599" s="54"/>
      <c r="K599" s="54"/>
      <c r="L599" s="54"/>
      <c r="M599" s="54"/>
      <c r="N599" s="54"/>
    </row>
    <row r="600" ht="14.25" customHeight="1">
      <c r="A600" s="54"/>
      <c r="B600" s="54"/>
      <c r="C600" s="54"/>
      <c r="D600" s="54"/>
      <c r="E600" s="54"/>
      <c r="F600" s="54"/>
      <c r="G600" s="54"/>
      <c r="H600" s="54"/>
      <c r="I600" s="54"/>
      <c r="J600" s="54"/>
      <c r="K600" s="54"/>
      <c r="L600" s="54"/>
      <c r="M600" s="54"/>
      <c r="N600" s="54"/>
    </row>
    <row r="601" ht="14.25" customHeight="1">
      <c r="A601" s="54"/>
      <c r="B601" s="54"/>
      <c r="C601" s="54"/>
      <c r="D601" s="54"/>
      <c r="E601" s="54"/>
      <c r="F601" s="54"/>
      <c r="G601" s="54"/>
      <c r="H601" s="54"/>
      <c r="I601" s="54"/>
      <c r="J601" s="54"/>
      <c r="K601" s="54"/>
      <c r="L601" s="54"/>
      <c r="M601" s="54"/>
      <c r="N601" s="54"/>
    </row>
    <row r="602" ht="14.25" customHeight="1">
      <c r="A602" s="54"/>
      <c r="B602" s="54"/>
      <c r="C602" s="54"/>
      <c r="D602" s="54"/>
      <c r="E602" s="54"/>
      <c r="F602" s="54"/>
      <c r="G602" s="54"/>
      <c r="H602" s="54"/>
      <c r="I602" s="54"/>
      <c r="J602" s="54"/>
      <c r="K602" s="54"/>
      <c r="L602" s="54"/>
      <c r="M602" s="54"/>
      <c r="N602" s="54"/>
    </row>
    <row r="603" ht="14.25" customHeight="1">
      <c r="A603" s="54"/>
      <c r="B603" s="54"/>
      <c r="C603" s="54"/>
      <c r="D603" s="54"/>
      <c r="E603" s="54"/>
      <c r="F603" s="54"/>
      <c r="G603" s="54"/>
      <c r="H603" s="54"/>
      <c r="I603" s="54"/>
      <c r="J603" s="54"/>
      <c r="K603" s="54"/>
      <c r="L603" s="54"/>
      <c r="M603" s="54"/>
      <c r="N603" s="54"/>
    </row>
    <row r="604" ht="14.25" customHeight="1">
      <c r="A604" s="54"/>
      <c r="B604" s="54"/>
      <c r="C604" s="54"/>
      <c r="D604" s="54"/>
      <c r="E604" s="54"/>
      <c r="F604" s="54"/>
      <c r="G604" s="54"/>
      <c r="H604" s="54"/>
      <c r="I604" s="54"/>
      <c r="J604" s="54"/>
      <c r="K604" s="54"/>
      <c r="L604" s="54"/>
      <c r="M604" s="54"/>
      <c r="N604" s="54"/>
    </row>
    <row r="605" ht="14.25" customHeight="1">
      <c r="A605" s="54"/>
      <c r="B605" s="54"/>
      <c r="C605" s="54"/>
      <c r="D605" s="54"/>
      <c r="E605" s="54"/>
      <c r="F605" s="54"/>
      <c r="G605" s="54"/>
      <c r="H605" s="54"/>
      <c r="I605" s="54"/>
      <c r="J605" s="54"/>
      <c r="K605" s="54"/>
      <c r="L605" s="54"/>
      <c r="M605" s="54"/>
      <c r="N605" s="54"/>
    </row>
    <row r="606" ht="14.25" customHeight="1">
      <c r="A606" s="54"/>
      <c r="B606" s="54"/>
      <c r="C606" s="54"/>
      <c r="D606" s="54"/>
      <c r="E606" s="54"/>
      <c r="F606" s="54"/>
      <c r="G606" s="54"/>
      <c r="H606" s="54"/>
      <c r="I606" s="54"/>
      <c r="J606" s="54"/>
      <c r="K606" s="54"/>
      <c r="L606" s="54"/>
      <c r="M606" s="54"/>
      <c r="N606" s="54"/>
    </row>
    <row r="607" ht="14.25" customHeight="1">
      <c r="A607" s="54"/>
      <c r="B607" s="54"/>
      <c r="C607" s="54"/>
      <c r="D607" s="54"/>
      <c r="E607" s="54"/>
      <c r="F607" s="54"/>
      <c r="G607" s="54"/>
      <c r="H607" s="54"/>
      <c r="I607" s="54"/>
      <c r="J607" s="54"/>
      <c r="K607" s="54"/>
      <c r="L607" s="54"/>
      <c r="M607" s="54"/>
      <c r="N607" s="54"/>
    </row>
    <row r="608" ht="14.25" customHeight="1">
      <c r="A608" s="54"/>
      <c r="B608" s="54"/>
      <c r="C608" s="54"/>
      <c r="D608" s="54"/>
      <c r="E608" s="54"/>
      <c r="F608" s="54"/>
      <c r="G608" s="54"/>
      <c r="H608" s="54"/>
      <c r="I608" s="54"/>
      <c r="J608" s="54"/>
      <c r="K608" s="54"/>
      <c r="L608" s="54"/>
      <c r="M608" s="54"/>
      <c r="N608" s="54"/>
    </row>
    <row r="609" ht="14.25" customHeight="1">
      <c r="A609" s="54"/>
      <c r="B609" s="54"/>
      <c r="C609" s="54"/>
      <c r="D609" s="54"/>
      <c r="E609" s="54"/>
      <c r="F609" s="54"/>
      <c r="G609" s="54"/>
      <c r="H609" s="54"/>
      <c r="I609" s="54"/>
      <c r="J609" s="54"/>
      <c r="K609" s="54"/>
      <c r="L609" s="54"/>
      <c r="M609" s="54"/>
      <c r="N609" s="54"/>
    </row>
    <row r="610" ht="14.25" customHeight="1">
      <c r="A610" s="54"/>
      <c r="B610" s="54"/>
      <c r="C610" s="54"/>
      <c r="D610" s="54"/>
      <c r="E610" s="54"/>
      <c r="F610" s="54"/>
      <c r="G610" s="54"/>
      <c r="H610" s="54"/>
      <c r="I610" s="54"/>
      <c r="J610" s="54"/>
      <c r="K610" s="54"/>
      <c r="L610" s="54"/>
      <c r="M610" s="54"/>
      <c r="N610" s="54"/>
    </row>
    <row r="611" ht="14.25" customHeight="1">
      <c r="A611" s="54"/>
      <c r="B611" s="54"/>
      <c r="C611" s="54"/>
      <c r="D611" s="54"/>
      <c r="E611" s="54"/>
      <c r="F611" s="54"/>
      <c r="G611" s="54"/>
      <c r="H611" s="54"/>
      <c r="I611" s="54"/>
      <c r="J611" s="54"/>
      <c r="K611" s="54"/>
      <c r="L611" s="54"/>
      <c r="M611" s="54"/>
      <c r="N611" s="54"/>
    </row>
    <row r="612" ht="14.25" customHeight="1">
      <c r="A612" s="54"/>
      <c r="B612" s="54"/>
      <c r="C612" s="54"/>
      <c r="D612" s="54"/>
      <c r="E612" s="54"/>
      <c r="F612" s="54"/>
      <c r="G612" s="54"/>
      <c r="H612" s="54"/>
      <c r="I612" s="54"/>
      <c r="J612" s="54"/>
      <c r="K612" s="54"/>
      <c r="L612" s="54"/>
      <c r="M612" s="54"/>
      <c r="N612" s="54"/>
    </row>
    <row r="613" ht="14.25" customHeight="1">
      <c r="A613" s="54"/>
      <c r="B613" s="54"/>
      <c r="C613" s="54"/>
      <c r="D613" s="54"/>
      <c r="E613" s="54"/>
      <c r="F613" s="54"/>
      <c r="G613" s="54"/>
      <c r="H613" s="54"/>
      <c r="I613" s="54"/>
      <c r="J613" s="54"/>
      <c r="K613" s="54"/>
      <c r="L613" s="54"/>
      <c r="M613" s="54"/>
      <c r="N613" s="54"/>
    </row>
    <row r="614" ht="14.25" customHeight="1">
      <c r="A614" s="54"/>
      <c r="B614" s="54"/>
      <c r="C614" s="54"/>
      <c r="D614" s="54"/>
      <c r="E614" s="54"/>
      <c r="F614" s="54"/>
      <c r="G614" s="54"/>
      <c r="H614" s="54"/>
      <c r="I614" s="54"/>
      <c r="J614" s="54"/>
      <c r="K614" s="54"/>
      <c r="L614" s="54"/>
      <c r="M614" s="54"/>
      <c r="N614" s="54"/>
    </row>
    <row r="615" ht="14.25" customHeight="1">
      <c r="A615" s="54"/>
      <c r="B615" s="54"/>
      <c r="C615" s="54"/>
      <c r="D615" s="54"/>
      <c r="E615" s="54"/>
      <c r="F615" s="54"/>
      <c r="G615" s="54"/>
      <c r="H615" s="54"/>
      <c r="I615" s="54"/>
      <c r="J615" s="54"/>
      <c r="K615" s="54"/>
      <c r="L615" s="54"/>
      <c r="M615" s="54"/>
      <c r="N615" s="54"/>
    </row>
    <row r="616" ht="14.25" customHeight="1">
      <c r="A616" s="54"/>
      <c r="B616" s="54"/>
      <c r="C616" s="54"/>
      <c r="D616" s="54"/>
      <c r="E616" s="54"/>
      <c r="F616" s="54"/>
      <c r="G616" s="54"/>
      <c r="H616" s="54"/>
      <c r="I616" s="54"/>
      <c r="J616" s="54"/>
      <c r="K616" s="54"/>
      <c r="L616" s="54"/>
      <c r="M616" s="54"/>
      <c r="N616" s="54"/>
    </row>
    <row r="617" ht="14.25" customHeight="1">
      <c r="A617" s="54"/>
      <c r="B617" s="54"/>
      <c r="C617" s="54"/>
      <c r="D617" s="54"/>
      <c r="E617" s="54"/>
      <c r="F617" s="54"/>
      <c r="G617" s="54"/>
      <c r="H617" s="54"/>
      <c r="I617" s="54"/>
      <c r="J617" s="54"/>
      <c r="K617" s="54"/>
      <c r="L617" s="54"/>
      <c r="M617" s="54"/>
      <c r="N617" s="54"/>
    </row>
    <row r="618" ht="14.25" customHeight="1">
      <c r="A618" s="54"/>
      <c r="B618" s="54"/>
      <c r="C618" s="54"/>
      <c r="D618" s="54"/>
      <c r="E618" s="54"/>
      <c r="F618" s="54"/>
      <c r="G618" s="54"/>
      <c r="H618" s="54"/>
      <c r="I618" s="54"/>
      <c r="J618" s="54"/>
      <c r="K618" s="54"/>
      <c r="L618" s="54"/>
      <c r="M618" s="54"/>
      <c r="N618" s="54"/>
    </row>
    <row r="619" ht="14.25" customHeight="1">
      <c r="A619" s="54"/>
      <c r="B619" s="54"/>
      <c r="C619" s="54"/>
      <c r="D619" s="54"/>
      <c r="E619" s="54"/>
      <c r="F619" s="54"/>
      <c r="G619" s="54"/>
      <c r="H619" s="54"/>
      <c r="I619" s="54"/>
      <c r="J619" s="54"/>
      <c r="K619" s="54"/>
      <c r="L619" s="54"/>
      <c r="M619" s="54"/>
      <c r="N619" s="54"/>
    </row>
    <row r="620" ht="14.25" customHeight="1">
      <c r="A620" s="54"/>
      <c r="B620" s="54"/>
      <c r="C620" s="54"/>
      <c r="D620" s="54"/>
      <c r="E620" s="54"/>
      <c r="F620" s="54"/>
      <c r="G620" s="54"/>
      <c r="H620" s="54"/>
      <c r="I620" s="54"/>
      <c r="J620" s="54"/>
      <c r="K620" s="54"/>
      <c r="L620" s="54"/>
      <c r="M620" s="54"/>
      <c r="N620" s="54"/>
    </row>
    <row r="621" ht="14.25" customHeight="1">
      <c r="A621" s="54"/>
      <c r="B621" s="54"/>
      <c r="C621" s="54"/>
      <c r="D621" s="54"/>
      <c r="E621" s="54"/>
      <c r="F621" s="54"/>
      <c r="G621" s="54"/>
      <c r="H621" s="54"/>
      <c r="I621" s="54"/>
      <c r="J621" s="54"/>
      <c r="K621" s="54"/>
      <c r="L621" s="54"/>
      <c r="M621" s="54"/>
      <c r="N621" s="54"/>
    </row>
    <row r="622" ht="14.25" customHeight="1">
      <c r="A622" s="54"/>
      <c r="B622" s="54"/>
      <c r="C622" s="54"/>
      <c r="D622" s="54"/>
      <c r="E622" s="54"/>
      <c r="F622" s="54"/>
      <c r="G622" s="54"/>
      <c r="H622" s="54"/>
      <c r="I622" s="54"/>
      <c r="J622" s="54"/>
      <c r="K622" s="54"/>
      <c r="L622" s="54"/>
      <c r="M622" s="54"/>
      <c r="N622" s="54"/>
    </row>
    <row r="623" ht="14.25" customHeight="1">
      <c r="A623" s="54"/>
      <c r="B623" s="54"/>
      <c r="C623" s="54"/>
      <c r="D623" s="54"/>
      <c r="E623" s="54"/>
      <c r="F623" s="54"/>
      <c r="G623" s="54"/>
      <c r="H623" s="54"/>
      <c r="I623" s="54"/>
      <c r="J623" s="54"/>
      <c r="K623" s="54"/>
      <c r="L623" s="54"/>
      <c r="M623" s="54"/>
      <c r="N623" s="54"/>
    </row>
    <row r="624" ht="14.25" customHeight="1">
      <c r="A624" s="54"/>
      <c r="B624" s="54"/>
      <c r="C624" s="54"/>
      <c r="D624" s="54"/>
      <c r="E624" s="54"/>
      <c r="F624" s="54"/>
      <c r="G624" s="54"/>
      <c r="H624" s="54"/>
      <c r="I624" s="54"/>
      <c r="J624" s="54"/>
      <c r="K624" s="54"/>
      <c r="L624" s="54"/>
      <c r="M624" s="54"/>
      <c r="N624" s="54"/>
    </row>
    <row r="625" ht="14.25" customHeight="1">
      <c r="A625" s="54"/>
      <c r="B625" s="54"/>
      <c r="C625" s="54"/>
      <c r="D625" s="54"/>
      <c r="E625" s="54"/>
      <c r="F625" s="54"/>
      <c r="G625" s="54"/>
      <c r="H625" s="54"/>
      <c r="I625" s="54"/>
      <c r="J625" s="54"/>
      <c r="K625" s="54"/>
      <c r="L625" s="54"/>
      <c r="M625" s="54"/>
      <c r="N625" s="54"/>
    </row>
    <row r="626" ht="14.25" customHeight="1">
      <c r="A626" s="54"/>
      <c r="B626" s="54"/>
      <c r="C626" s="54"/>
      <c r="D626" s="54"/>
      <c r="E626" s="54"/>
      <c r="F626" s="54"/>
      <c r="G626" s="54"/>
      <c r="H626" s="54"/>
      <c r="I626" s="54"/>
      <c r="J626" s="54"/>
      <c r="K626" s="54"/>
      <c r="L626" s="54"/>
      <c r="M626" s="54"/>
      <c r="N626" s="54"/>
    </row>
    <row r="627" ht="14.25" customHeight="1">
      <c r="A627" s="54"/>
      <c r="B627" s="54"/>
      <c r="C627" s="54"/>
      <c r="D627" s="54"/>
      <c r="E627" s="54"/>
      <c r="F627" s="54"/>
      <c r="G627" s="54"/>
      <c r="H627" s="54"/>
      <c r="I627" s="54"/>
      <c r="J627" s="54"/>
      <c r="K627" s="54"/>
      <c r="L627" s="54"/>
      <c r="M627" s="54"/>
      <c r="N627" s="54"/>
    </row>
    <row r="628" ht="14.25" customHeight="1">
      <c r="A628" s="54"/>
      <c r="B628" s="54"/>
      <c r="C628" s="54"/>
      <c r="D628" s="54"/>
      <c r="E628" s="54"/>
      <c r="F628" s="54"/>
      <c r="G628" s="54"/>
      <c r="H628" s="54"/>
      <c r="I628" s="54"/>
      <c r="J628" s="54"/>
      <c r="K628" s="54"/>
      <c r="L628" s="54"/>
      <c r="M628" s="54"/>
      <c r="N628" s="54"/>
    </row>
    <row r="629" ht="14.25" customHeight="1">
      <c r="A629" s="54"/>
      <c r="B629" s="54"/>
      <c r="C629" s="54"/>
      <c r="D629" s="54"/>
      <c r="E629" s="54"/>
      <c r="F629" s="54"/>
      <c r="G629" s="54"/>
      <c r="H629" s="54"/>
      <c r="I629" s="54"/>
      <c r="J629" s="54"/>
      <c r="K629" s="54"/>
      <c r="L629" s="54"/>
      <c r="M629" s="54"/>
      <c r="N629" s="54"/>
    </row>
    <row r="630" ht="14.25" customHeight="1">
      <c r="A630" s="54"/>
      <c r="B630" s="54"/>
      <c r="C630" s="54"/>
      <c r="D630" s="54"/>
      <c r="E630" s="54"/>
      <c r="F630" s="54"/>
      <c r="G630" s="54"/>
      <c r="H630" s="54"/>
      <c r="I630" s="54"/>
      <c r="J630" s="54"/>
      <c r="K630" s="54"/>
      <c r="L630" s="54"/>
      <c r="M630" s="54"/>
      <c r="N630" s="54"/>
    </row>
    <row r="631" ht="14.25" customHeight="1">
      <c r="A631" s="54"/>
      <c r="B631" s="54"/>
      <c r="C631" s="54"/>
      <c r="D631" s="54"/>
      <c r="E631" s="54"/>
      <c r="F631" s="54"/>
      <c r="G631" s="54"/>
      <c r="H631" s="54"/>
      <c r="I631" s="54"/>
      <c r="J631" s="54"/>
      <c r="K631" s="54"/>
      <c r="L631" s="54"/>
      <c r="M631" s="54"/>
      <c r="N631" s="54"/>
    </row>
    <row r="632" ht="14.25" customHeight="1">
      <c r="A632" s="54"/>
      <c r="B632" s="54"/>
      <c r="C632" s="54"/>
      <c r="D632" s="54"/>
      <c r="E632" s="54"/>
      <c r="F632" s="54"/>
      <c r="G632" s="54"/>
      <c r="H632" s="54"/>
      <c r="I632" s="54"/>
      <c r="J632" s="54"/>
      <c r="K632" s="54"/>
      <c r="L632" s="54"/>
      <c r="M632" s="54"/>
      <c r="N632" s="54"/>
    </row>
    <row r="633" ht="14.25" customHeight="1">
      <c r="A633" s="54"/>
      <c r="B633" s="54"/>
      <c r="C633" s="54"/>
      <c r="D633" s="54"/>
      <c r="E633" s="54"/>
      <c r="F633" s="54"/>
      <c r="G633" s="54"/>
      <c r="H633" s="54"/>
      <c r="I633" s="54"/>
      <c r="J633" s="54"/>
      <c r="K633" s="54"/>
      <c r="L633" s="54"/>
      <c r="M633" s="54"/>
      <c r="N633" s="54"/>
    </row>
    <row r="634" ht="14.25" customHeight="1">
      <c r="A634" s="54"/>
      <c r="B634" s="54"/>
      <c r="C634" s="54"/>
      <c r="D634" s="54"/>
      <c r="E634" s="54"/>
      <c r="F634" s="54"/>
      <c r="G634" s="54"/>
      <c r="H634" s="54"/>
      <c r="I634" s="54"/>
      <c r="J634" s="54"/>
      <c r="K634" s="54"/>
      <c r="L634" s="54"/>
      <c r="M634" s="54"/>
      <c r="N634" s="54"/>
    </row>
    <row r="635" ht="14.25" customHeight="1">
      <c r="A635" s="54"/>
      <c r="B635" s="54"/>
      <c r="C635" s="54"/>
      <c r="D635" s="54"/>
      <c r="E635" s="54"/>
      <c r="F635" s="54"/>
      <c r="G635" s="54"/>
      <c r="H635" s="54"/>
      <c r="I635" s="54"/>
      <c r="J635" s="54"/>
      <c r="K635" s="54"/>
      <c r="L635" s="54"/>
      <c r="M635" s="54"/>
      <c r="N635" s="54"/>
    </row>
    <row r="636" ht="14.25" customHeight="1">
      <c r="A636" s="54"/>
      <c r="B636" s="54"/>
      <c r="C636" s="54"/>
      <c r="D636" s="54"/>
      <c r="E636" s="54"/>
      <c r="F636" s="54"/>
      <c r="G636" s="54"/>
      <c r="H636" s="54"/>
      <c r="I636" s="54"/>
      <c r="J636" s="54"/>
      <c r="K636" s="54"/>
      <c r="L636" s="54"/>
      <c r="M636" s="54"/>
      <c r="N636" s="54"/>
    </row>
    <row r="637" ht="14.25" customHeight="1">
      <c r="A637" s="54"/>
      <c r="B637" s="54"/>
      <c r="C637" s="54"/>
      <c r="D637" s="54"/>
      <c r="E637" s="54"/>
      <c r="F637" s="54"/>
      <c r="G637" s="54"/>
      <c r="H637" s="54"/>
      <c r="I637" s="54"/>
      <c r="J637" s="54"/>
      <c r="K637" s="54"/>
      <c r="L637" s="54"/>
      <c r="M637" s="54"/>
      <c r="N637" s="54"/>
    </row>
    <row r="638" ht="14.25" customHeight="1">
      <c r="A638" s="54"/>
      <c r="B638" s="54"/>
      <c r="C638" s="54"/>
      <c r="D638" s="54"/>
      <c r="E638" s="54"/>
      <c r="F638" s="54"/>
      <c r="G638" s="54"/>
      <c r="H638" s="54"/>
      <c r="I638" s="54"/>
      <c r="J638" s="54"/>
      <c r="K638" s="54"/>
      <c r="L638" s="54"/>
      <c r="M638" s="54"/>
      <c r="N638" s="54"/>
    </row>
    <row r="639" ht="14.25" customHeight="1">
      <c r="A639" s="54"/>
      <c r="B639" s="54"/>
      <c r="C639" s="54"/>
      <c r="D639" s="54"/>
      <c r="E639" s="54"/>
      <c r="F639" s="54"/>
      <c r="G639" s="54"/>
      <c r="H639" s="54"/>
      <c r="I639" s="54"/>
      <c r="J639" s="54"/>
      <c r="K639" s="54"/>
      <c r="L639" s="54"/>
      <c r="M639" s="54"/>
      <c r="N639" s="54"/>
    </row>
    <row r="640" ht="14.25" customHeight="1">
      <c r="A640" s="54"/>
      <c r="B640" s="54"/>
      <c r="C640" s="54"/>
      <c r="D640" s="54"/>
      <c r="E640" s="54"/>
      <c r="F640" s="54"/>
      <c r="G640" s="54"/>
      <c r="H640" s="54"/>
      <c r="I640" s="54"/>
      <c r="J640" s="54"/>
      <c r="K640" s="54"/>
      <c r="L640" s="54"/>
      <c r="M640" s="54"/>
      <c r="N640" s="54"/>
    </row>
    <row r="641" ht="14.25" customHeight="1">
      <c r="A641" s="54"/>
      <c r="B641" s="54"/>
      <c r="C641" s="54"/>
      <c r="D641" s="54"/>
      <c r="E641" s="54"/>
      <c r="F641" s="54"/>
      <c r="G641" s="54"/>
      <c r="H641" s="54"/>
      <c r="I641" s="54"/>
      <c r="J641" s="54"/>
      <c r="K641" s="54"/>
      <c r="L641" s="54"/>
      <c r="M641" s="54"/>
      <c r="N641" s="54"/>
    </row>
    <row r="642" ht="14.25" customHeight="1">
      <c r="A642" s="54"/>
      <c r="B642" s="54"/>
      <c r="C642" s="54"/>
      <c r="D642" s="54"/>
      <c r="E642" s="54"/>
      <c r="F642" s="54"/>
      <c r="G642" s="54"/>
      <c r="H642" s="54"/>
      <c r="I642" s="54"/>
      <c r="J642" s="54"/>
      <c r="K642" s="54"/>
      <c r="L642" s="54"/>
      <c r="M642" s="54"/>
      <c r="N642" s="54"/>
    </row>
    <row r="643" ht="14.25" customHeight="1">
      <c r="A643" s="54"/>
      <c r="B643" s="54"/>
      <c r="C643" s="54"/>
      <c r="D643" s="54"/>
      <c r="E643" s="54"/>
      <c r="F643" s="54"/>
      <c r="G643" s="54"/>
      <c r="H643" s="54"/>
      <c r="I643" s="54"/>
      <c r="J643" s="54"/>
      <c r="K643" s="54"/>
      <c r="L643" s="54"/>
      <c r="M643" s="54"/>
      <c r="N643" s="54"/>
    </row>
    <row r="644" ht="14.25" customHeight="1">
      <c r="A644" s="54"/>
      <c r="B644" s="54"/>
      <c r="C644" s="54"/>
      <c r="D644" s="54"/>
      <c r="E644" s="54"/>
      <c r="F644" s="54"/>
      <c r="G644" s="54"/>
      <c r="H644" s="54"/>
      <c r="I644" s="54"/>
      <c r="J644" s="54"/>
      <c r="K644" s="54"/>
      <c r="L644" s="54"/>
      <c r="M644" s="54"/>
      <c r="N644" s="54"/>
    </row>
    <row r="645" ht="14.25" customHeight="1">
      <c r="A645" s="54"/>
      <c r="B645" s="54"/>
      <c r="C645" s="54"/>
      <c r="D645" s="54"/>
      <c r="E645" s="54"/>
      <c r="F645" s="54"/>
      <c r="G645" s="54"/>
      <c r="H645" s="54"/>
      <c r="I645" s="54"/>
      <c r="J645" s="54"/>
      <c r="K645" s="54"/>
      <c r="L645" s="54"/>
      <c r="M645" s="54"/>
      <c r="N645" s="54"/>
    </row>
    <row r="646" ht="14.25" customHeight="1">
      <c r="A646" s="54"/>
      <c r="B646" s="54"/>
      <c r="C646" s="54"/>
      <c r="D646" s="54"/>
      <c r="E646" s="54"/>
      <c r="F646" s="54"/>
      <c r="G646" s="54"/>
      <c r="H646" s="54"/>
      <c r="I646" s="54"/>
      <c r="J646" s="54"/>
      <c r="K646" s="54"/>
      <c r="L646" s="54"/>
      <c r="M646" s="54"/>
      <c r="N646" s="54"/>
    </row>
    <row r="647" ht="14.25" customHeight="1">
      <c r="A647" s="54"/>
      <c r="B647" s="54"/>
      <c r="C647" s="54"/>
      <c r="D647" s="54"/>
      <c r="E647" s="54"/>
      <c r="F647" s="54"/>
      <c r="G647" s="54"/>
      <c r="H647" s="54"/>
      <c r="I647" s="54"/>
      <c r="J647" s="54"/>
      <c r="K647" s="54"/>
      <c r="L647" s="54"/>
      <c r="M647" s="54"/>
      <c r="N647" s="54"/>
    </row>
    <row r="648" ht="14.25" customHeight="1">
      <c r="A648" s="54"/>
      <c r="B648" s="54"/>
      <c r="C648" s="54"/>
      <c r="D648" s="54"/>
      <c r="E648" s="54"/>
      <c r="F648" s="54"/>
      <c r="G648" s="54"/>
      <c r="H648" s="54"/>
      <c r="I648" s="54"/>
      <c r="J648" s="54"/>
      <c r="K648" s="54"/>
      <c r="L648" s="54"/>
      <c r="M648" s="54"/>
      <c r="N648" s="54"/>
    </row>
    <row r="649" ht="14.25" customHeight="1">
      <c r="A649" s="54"/>
      <c r="B649" s="54"/>
      <c r="C649" s="54"/>
      <c r="D649" s="54"/>
      <c r="E649" s="54"/>
      <c r="F649" s="54"/>
      <c r="G649" s="54"/>
      <c r="H649" s="54"/>
      <c r="I649" s="54"/>
      <c r="J649" s="54"/>
      <c r="K649" s="54"/>
      <c r="L649" s="54"/>
      <c r="M649" s="54"/>
      <c r="N649" s="54"/>
    </row>
    <row r="650" ht="14.25" customHeight="1">
      <c r="A650" s="54"/>
      <c r="B650" s="54"/>
      <c r="C650" s="54"/>
      <c r="D650" s="54"/>
      <c r="E650" s="54"/>
      <c r="F650" s="54"/>
      <c r="G650" s="54"/>
      <c r="H650" s="54"/>
      <c r="I650" s="54"/>
      <c r="J650" s="54"/>
      <c r="K650" s="54"/>
      <c r="L650" s="54"/>
      <c r="M650" s="54"/>
      <c r="N650" s="54"/>
    </row>
    <row r="651" ht="14.25" customHeight="1">
      <c r="A651" s="54"/>
      <c r="B651" s="54"/>
      <c r="C651" s="54"/>
      <c r="D651" s="54"/>
      <c r="E651" s="54"/>
      <c r="F651" s="54"/>
      <c r="G651" s="54"/>
      <c r="H651" s="54"/>
      <c r="I651" s="54"/>
      <c r="J651" s="54"/>
      <c r="K651" s="54"/>
      <c r="L651" s="54"/>
      <c r="M651" s="54"/>
      <c r="N651" s="54"/>
    </row>
    <row r="652" ht="14.25" customHeight="1">
      <c r="A652" s="54"/>
      <c r="B652" s="54"/>
      <c r="C652" s="54"/>
      <c r="D652" s="54"/>
      <c r="E652" s="54"/>
      <c r="F652" s="54"/>
      <c r="G652" s="54"/>
      <c r="H652" s="54"/>
      <c r="I652" s="54"/>
      <c r="J652" s="54"/>
      <c r="K652" s="54"/>
      <c r="L652" s="54"/>
      <c r="M652" s="54"/>
      <c r="N652" s="54"/>
    </row>
    <row r="653" ht="14.25" customHeight="1">
      <c r="A653" s="54"/>
      <c r="B653" s="54"/>
      <c r="C653" s="54"/>
      <c r="D653" s="54"/>
      <c r="E653" s="54"/>
      <c r="F653" s="54"/>
      <c r="G653" s="54"/>
      <c r="H653" s="54"/>
      <c r="I653" s="54"/>
      <c r="J653" s="54"/>
      <c r="K653" s="54"/>
      <c r="L653" s="54"/>
      <c r="M653" s="54"/>
      <c r="N653" s="54"/>
    </row>
    <row r="654" ht="14.25" customHeight="1">
      <c r="A654" s="54"/>
      <c r="B654" s="54"/>
      <c r="C654" s="54"/>
      <c r="D654" s="54"/>
      <c r="E654" s="54"/>
      <c r="F654" s="54"/>
      <c r="G654" s="54"/>
      <c r="H654" s="54"/>
      <c r="I654" s="54"/>
      <c r="J654" s="54"/>
      <c r="K654" s="54"/>
      <c r="L654" s="54"/>
      <c r="M654" s="54"/>
      <c r="N654" s="54"/>
    </row>
    <row r="655" ht="14.25" customHeight="1">
      <c r="A655" s="54"/>
      <c r="B655" s="54"/>
      <c r="C655" s="54"/>
      <c r="D655" s="54"/>
      <c r="E655" s="54"/>
      <c r="F655" s="54"/>
      <c r="G655" s="54"/>
      <c r="H655" s="54"/>
      <c r="I655" s="54"/>
      <c r="J655" s="54"/>
      <c r="K655" s="54"/>
      <c r="L655" s="54"/>
      <c r="M655" s="54"/>
      <c r="N655" s="54"/>
    </row>
    <row r="656" ht="14.25" customHeight="1">
      <c r="A656" s="54"/>
      <c r="B656" s="54"/>
      <c r="C656" s="54"/>
      <c r="D656" s="54"/>
      <c r="E656" s="54"/>
      <c r="F656" s="54"/>
      <c r="G656" s="54"/>
      <c r="H656" s="54"/>
      <c r="I656" s="54"/>
      <c r="J656" s="54"/>
      <c r="K656" s="54"/>
      <c r="L656" s="54"/>
      <c r="M656" s="54"/>
      <c r="N656" s="54"/>
    </row>
    <row r="657" ht="14.25" customHeight="1">
      <c r="A657" s="54"/>
      <c r="B657" s="54"/>
      <c r="C657" s="54"/>
      <c r="D657" s="54"/>
      <c r="E657" s="54"/>
      <c r="F657" s="54"/>
      <c r="G657" s="54"/>
      <c r="H657" s="54"/>
      <c r="I657" s="54"/>
      <c r="J657" s="54"/>
      <c r="K657" s="54"/>
      <c r="L657" s="54"/>
      <c r="M657" s="54"/>
      <c r="N657" s="54"/>
    </row>
    <row r="658" ht="14.25" customHeight="1">
      <c r="A658" s="54"/>
      <c r="B658" s="54"/>
      <c r="C658" s="54"/>
      <c r="D658" s="54"/>
      <c r="E658" s="54"/>
      <c r="F658" s="54"/>
      <c r="G658" s="54"/>
      <c r="H658" s="54"/>
      <c r="I658" s="54"/>
      <c r="J658" s="54"/>
      <c r="K658" s="54"/>
      <c r="L658" s="54"/>
      <c r="M658" s="54"/>
      <c r="N658" s="54"/>
    </row>
    <row r="659" ht="14.25" customHeight="1">
      <c r="A659" s="54"/>
      <c r="B659" s="54"/>
      <c r="C659" s="54"/>
      <c r="D659" s="54"/>
      <c r="E659" s="54"/>
      <c r="F659" s="54"/>
      <c r="G659" s="54"/>
      <c r="H659" s="54"/>
      <c r="I659" s="54"/>
      <c r="J659" s="54"/>
      <c r="K659" s="54"/>
      <c r="L659" s="54"/>
      <c r="M659" s="54"/>
      <c r="N659" s="54"/>
    </row>
    <row r="660" ht="14.25" customHeight="1">
      <c r="A660" s="54"/>
      <c r="B660" s="54"/>
      <c r="C660" s="54"/>
      <c r="D660" s="54"/>
      <c r="E660" s="54"/>
      <c r="F660" s="54"/>
      <c r="G660" s="54"/>
      <c r="H660" s="54"/>
      <c r="I660" s="54"/>
      <c r="J660" s="54"/>
      <c r="K660" s="54"/>
      <c r="L660" s="54"/>
      <c r="M660" s="54"/>
      <c r="N660" s="54"/>
    </row>
    <row r="661" ht="14.25" customHeight="1">
      <c r="A661" s="54"/>
      <c r="B661" s="54"/>
      <c r="C661" s="54"/>
      <c r="D661" s="54"/>
      <c r="E661" s="54"/>
      <c r="F661" s="54"/>
      <c r="G661" s="54"/>
      <c r="H661" s="54"/>
      <c r="I661" s="54"/>
      <c r="J661" s="54"/>
      <c r="K661" s="54"/>
      <c r="L661" s="54"/>
      <c r="M661" s="54"/>
      <c r="N661" s="54"/>
    </row>
    <row r="662" ht="14.25" customHeight="1">
      <c r="A662" s="54"/>
      <c r="B662" s="54"/>
      <c r="C662" s="54"/>
      <c r="D662" s="54"/>
      <c r="E662" s="54"/>
      <c r="F662" s="54"/>
      <c r="G662" s="54"/>
      <c r="H662" s="54"/>
      <c r="I662" s="54"/>
      <c r="J662" s="54"/>
      <c r="K662" s="54"/>
      <c r="L662" s="54"/>
      <c r="M662" s="54"/>
      <c r="N662" s="54"/>
    </row>
    <row r="663" ht="14.25" customHeight="1">
      <c r="A663" s="54"/>
      <c r="B663" s="54"/>
      <c r="C663" s="54"/>
      <c r="D663" s="54"/>
      <c r="E663" s="54"/>
      <c r="F663" s="54"/>
      <c r="G663" s="54"/>
      <c r="H663" s="54"/>
      <c r="I663" s="54"/>
      <c r="J663" s="54"/>
      <c r="K663" s="54"/>
      <c r="L663" s="54"/>
      <c r="M663" s="54"/>
      <c r="N663" s="54"/>
    </row>
    <row r="664" ht="14.25" customHeight="1">
      <c r="A664" s="54"/>
      <c r="B664" s="54"/>
      <c r="C664" s="54"/>
      <c r="D664" s="54"/>
      <c r="E664" s="54"/>
      <c r="F664" s="54"/>
      <c r="G664" s="54"/>
      <c r="H664" s="54"/>
      <c r="I664" s="54"/>
      <c r="J664" s="54"/>
      <c r="K664" s="54"/>
      <c r="L664" s="54"/>
      <c r="M664" s="54"/>
      <c r="N664" s="54"/>
    </row>
    <row r="665" ht="14.25" customHeight="1">
      <c r="A665" s="54"/>
      <c r="B665" s="54"/>
      <c r="C665" s="54"/>
      <c r="D665" s="54"/>
      <c r="E665" s="54"/>
      <c r="F665" s="54"/>
      <c r="G665" s="54"/>
      <c r="H665" s="54"/>
      <c r="I665" s="54"/>
      <c r="J665" s="54"/>
      <c r="K665" s="54"/>
      <c r="L665" s="54"/>
      <c r="M665" s="54"/>
      <c r="N665" s="54"/>
    </row>
    <row r="666" ht="14.25" customHeight="1">
      <c r="A666" s="54"/>
      <c r="B666" s="54"/>
      <c r="C666" s="54"/>
      <c r="D666" s="54"/>
      <c r="E666" s="54"/>
      <c r="F666" s="54"/>
      <c r="G666" s="54"/>
      <c r="H666" s="54"/>
      <c r="I666" s="54"/>
      <c r="J666" s="54"/>
      <c r="K666" s="54"/>
      <c r="L666" s="54"/>
      <c r="M666" s="54"/>
      <c r="N666" s="54"/>
    </row>
    <row r="667" ht="14.25" customHeight="1">
      <c r="A667" s="54"/>
      <c r="B667" s="54"/>
      <c r="C667" s="54"/>
      <c r="D667" s="54"/>
      <c r="E667" s="54"/>
      <c r="F667" s="54"/>
      <c r="G667" s="54"/>
      <c r="H667" s="54"/>
      <c r="I667" s="54"/>
      <c r="J667" s="54"/>
      <c r="K667" s="54"/>
      <c r="L667" s="54"/>
      <c r="M667" s="54"/>
      <c r="N667" s="54"/>
    </row>
    <row r="668" ht="14.25" customHeight="1">
      <c r="A668" s="54"/>
      <c r="B668" s="54"/>
      <c r="C668" s="54"/>
      <c r="D668" s="54"/>
      <c r="E668" s="54"/>
      <c r="F668" s="54"/>
      <c r="G668" s="54"/>
      <c r="H668" s="54"/>
      <c r="I668" s="54"/>
      <c r="J668" s="54"/>
      <c r="K668" s="54"/>
      <c r="L668" s="54"/>
      <c r="M668" s="54"/>
      <c r="N668" s="54"/>
    </row>
    <row r="669" ht="14.25" customHeight="1">
      <c r="A669" s="54"/>
      <c r="B669" s="54"/>
      <c r="C669" s="54"/>
      <c r="D669" s="54"/>
      <c r="E669" s="54"/>
      <c r="F669" s="54"/>
      <c r="G669" s="54"/>
      <c r="H669" s="54"/>
      <c r="I669" s="54"/>
      <c r="J669" s="54"/>
      <c r="K669" s="54"/>
      <c r="L669" s="54"/>
      <c r="M669" s="54"/>
      <c r="N669" s="54"/>
    </row>
    <row r="670" ht="14.25" customHeight="1">
      <c r="A670" s="54"/>
      <c r="B670" s="54"/>
      <c r="C670" s="54"/>
      <c r="D670" s="54"/>
      <c r="E670" s="54"/>
      <c r="F670" s="54"/>
      <c r="G670" s="54"/>
      <c r="H670" s="54"/>
      <c r="I670" s="54"/>
      <c r="J670" s="54"/>
      <c r="K670" s="54"/>
      <c r="L670" s="54"/>
      <c r="M670" s="54"/>
      <c r="N670" s="54"/>
    </row>
    <row r="671" ht="14.25" customHeight="1">
      <c r="A671" s="54"/>
      <c r="B671" s="54"/>
      <c r="C671" s="54"/>
      <c r="D671" s="54"/>
      <c r="E671" s="54"/>
      <c r="F671" s="54"/>
      <c r="G671" s="54"/>
      <c r="H671" s="54"/>
      <c r="I671" s="54"/>
      <c r="J671" s="54"/>
      <c r="K671" s="54"/>
      <c r="L671" s="54"/>
      <c r="M671" s="54"/>
      <c r="N671" s="54"/>
    </row>
    <row r="672" ht="14.25" customHeight="1">
      <c r="A672" s="54"/>
      <c r="B672" s="54"/>
      <c r="C672" s="54"/>
      <c r="D672" s="54"/>
      <c r="E672" s="54"/>
      <c r="F672" s="54"/>
      <c r="G672" s="54"/>
      <c r="H672" s="54"/>
      <c r="I672" s="54"/>
      <c r="J672" s="54"/>
      <c r="K672" s="54"/>
      <c r="L672" s="54"/>
      <c r="M672" s="54"/>
      <c r="N672" s="54"/>
    </row>
    <row r="673" ht="14.25" customHeight="1">
      <c r="A673" s="54"/>
      <c r="B673" s="54"/>
      <c r="C673" s="54"/>
      <c r="D673" s="54"/>
      <c r="E673" s="54"/>
      <c r="F673" s="54"/>
      <c r="G673" s="54"/>
      <c r="H673" s="54"/>
      <c r="I673" s="54"/>
      <c r="J673" s="54"/>
      <c r="K673" s="54"/>
      <c r="L673" s="54"/>
      <c r="M673" s="54"/>
      <c r="N673" s="54"/>
    </row>
    <row r="674" ht="14.25" customHeight="1">
      <c r="A674" s="54"/>
      <c r="B674" s="54"/>
      <c r="C674" s="54"/>
      <c r="D674" s="54"/>
      <c r="E674" s="54"/>
      <c r="F674" s="54"/>
      <c r="G674" s="54"/>
      <c r="H674" s="54"/>
      <c r="I674" s="54"/>
      <c r="J674" s="54"/>
      <c r="K674" s="54"/>
      <c r="L674" s="54"/>
      <c r="M674" s="54"/>
      <c r="N674" s="54"/>
    </row>
    <row r="675" ht="14.25" customHeight="1">
      <c r="A675" s="54"/>
      <c r="B675" s="54"/>
      <c r="C675" s="54"/>
      <c r="D675" s="54"/>
      <c r="E675" s="54"/>
      <c r="F675" s="54"/>
      <c r="G675" s="54"/>
      <c r="H675" s="54"/>
      <c r="I675" s="54"/>
      <c r="J675" s="54"/>
      <c r="K675" s="54"/>
      <c r="L675" s="54"/>
      <c r="M675" s="54"/>
      <c r="N675" s="54"/>
    </row>
    <row r="676" ht="14.25" customHeight="1">
      <c r="A676" s="54"/>
      <c r="B676" s="54"/>
      <c r="C676" s="54"/>
      <c r="D676" s="54"/>
      <c r="E676" s="54"/>
      <c r="F676" s="54"/>
      <c r="G676" s="54"/>
      <c r="H676" s="54"/>
      <c r="I676" s="54"/>
      <c r="J676" s="54"/>
      <c r="K676" s="54"/>
      <c r="L676" s="54"/>
      <c r="M676" s="54"/>
      <c r="N676" s="54"/>
    </row>
    <row r="677" ht="14.25" customHeight="1">
      <c r="A677" s="54"/>
      <c r="B677" s="54"/>
      <c r="C677" s="54"/>
      <c r="D677" s="54"/>
      <c r="E677" s="54"/>
      <c r="F677" s="54"/>
      <c r="G677" s="54"/>
      <c r="H677" s="54"/>
      <c r="I677" s="54"/>
      <c r="J677" s="54"/>
      <c r="K677" s="54"/>
      <c r="L677" s="54"/>
      <c r="M677" s="54"/>
      <c r="N677" s="54"/>
    </row>
    <row r="678" ht="14.25" customHeight="1">
      <c r="A678" s="54"/>
      <c r="B678" s="54"/>
      <c r="C678" s="54"/>
      <c r="D678" s="54"/>
      <c r="E678" s="54"/>
      <c r="F678" s="54"/>
      <c r="G678" s="54"/>
      <c r="H678" s="54"/>
      <c r="I678" s="54"/>
      <c r="J678" s="54"/>
      <c r="K678" s="54"/>
      <c r="L678" s="54"/>
      <c r="M678" s="54"/>
      <c r="N678" s="54"/>
    </row>
    <row r="679" ht="14.25" customHeight="1">
      <c r="A679" s="54"/>
      <c r="B679" s="54"/>
      <c r="C679" s="54"/>
      <c r="D679" s="54"/>
      <c r="E679" s="54"/>
      <c r="F679" s="54"/>
      <c r="G679" s="54"/>
      <c r="H679" s="54"/>
      <c r="I679" s="54"/>
      <c r="J679" s="54"/>
      <c r="K679" s="54"/>
      <c r="L679" s="54"/>
      <c r="M679" s="54"/>
      <c r="N679" s="54"/>
    </row>
    <row r="680" ht="14.25" customHeight="1">
      <c r="A680" s="54"/>
      <c r="B680" s="54"/>
      <c r="C680" s="54"/>
      <c r="D680" s="54"/>
      <c r="E680" s="54"/>
      <c r="F680" s="54"/>
      <c r="G680" s="54"/>
      <c r="H680" s="54"/>
      <c r="I680" s="54"/>
      <c r="J680" s="54"/>
      <c r="K680" s="54"/>
      <c r="L680" s="54"/>
      <c r="M680" s="54"/>
      <c r="N680" s="54"/>
    </row>
    <row r="681" ht="14.25" customHeight="1">
      <c r="A681" s="54"/>
      <c r="B681" s="54"/>
      <c r="C681" s="54"/>
      <c r="D681" s="54"/>
      <c r="E681" s="54"/>
      <c r="F681" s="54"/>
      <c r="G681" s="54"/>
      <c r="H681" s="54"/>
      <c r="I681" s="54"/>
      <c r="J681" s="54"/>
      <c r="K681" s="54"/>
      <c r="L681" s="54"/>
      <c r="M681" s="54"/>
      <c r="N681" s="54"/>
    </row>
    <row r="682" ht="14.25" customHeight="1">
      <c r="A682" s="54"/>
      <c r="B682" s="54"/>
      <c r="C682" s="54"/>
      <c r="D682" s="54"/>
      <c r="E682" s="54"/>
      <c r="F682" s="54"/>
      <c r="G682" s="54"/>
      <c r="H682" s="54"/>
      <c r="I682" s="54"/>
      <c r="J682" s="54"/>
      <c r="K682" s="54"/>
      <c r="L682" s="54"/>
      <c r="M682" s="54"/>
      <c r="N682" s="54"/>
    </row>
    <row r="683" ht="14.25" customHeight="1">
      <c r="A683" s="54"/>
      <c r="B683" s="54"/>
      <c r="C683" s="54"/>
      <c r="D683" s="54"/>
      <c r="E683" s="54"/>
      <c r="F683" s="54"/>
      <c r="G683" s="54"/>
      <c r="H683" s="54"/>
      <c r="I683" s="54"/>
      <c r="J683" s="54"/>
      <c r="K683" s="54"/>
      <c r="L683" s="54"/>
      <c r="M683" s="54"/>
      <c r="N683" s="54"/>
    </row>
    <row r="684" ht="14.25" customHeight="1">
      <c r="A684" s="54"/>
      <c r="B684" s="54"/>
      <c r="C684" s="54"/>
      <c r="D684" s="54"/>
      <c r="E684" s="54"/>
      <c r="F684" s="54"/>
      <c r="G684" s="54"/>
      <c r="H684" s="54"/>
      <c r="I684" s="54"/>
      <c r="J684" s="54"/>
      <c r="K684" s="54"/>
      <c r="L684" s="54"/>
      <c r="M684" s="54"/>
      <c r="N684" s="54"/>
    </row>
    <row r="685" ht="14.25" customHeight="1">
      <c r="A685" s="54"/>
      <c r="B685" s="54"/>
      <c r="C685" s="54"/>
      <c r="D685" s="54"/>
      <c r="E685" s="54"/>
      <c r="F685" s="54"/>
      <c r="G685" s="54"/>
      <c r="H685" s="54"/>
      <c r="I685" s="54"/>
      <c r="J685" s="54"/>
      <c r="K685" s="54"/>
      <c r="L685" s="54"/>
      <c r="M685" s="54"/>
      <c r="N685" s="54"/>
    </row>
    <row r="686" ht="14.25" customHeight="1">
      <c r="A686" s="54"/>
      <c r="B686" s="54"/>
      <c r="C686" s="54"/>
      <c r="D686" s="54"/>
      <c r="E686" s="54"/>
      <c r="F686" s="54"/>
      <c r="G686" s="54"/>
      <c r="H686" s="54"/>
      <c r="I686" s="54"/>
      <c r="J686" s="54"/>
      <c r="K686" s="54"/>
      <c r="L686" s="54"/>
      <c r="M686" s="54"/>
      <c r="N686" s="54"/>
    </row>
    <row r="687" ht="14.25" customHeight="1">
      <c r="A687" s="54"/>
      <c r="B687" s="54"/>
      <c r="C687" s="54"/>
      <c r="D687" s="54"/>
      <c r="E687" s="54"/>
      <c r="F687" s="54"/>
      <c r="G687" s="54"/>
      <c r="H687" s="54"/>
      <c r="I687" s="54"/>
      <c r="J687" s="54"/>
      <c r="K687" s="54"/>
      <c r="L687" s="54"/>
      <c r="M687" s="54"/>
      <c r="N687" s="54"/>
    </row>
    <row r="688" ht="14.25" customHeight="1">
      <c r="A688" s="54"/>
      <c r="B688" s="54"/>
      <c r="C688" s="54"/>
      <c r="D688" s="54"/>
      <c r="E688" s="54"/>
      <c r="F688" s="54"/>
      <c r="G688" s="54"/>
      <c r="H688" s="54"/>
      <c r="I688" s="54"/>
      <c r="J688" s="54"/>
      <c r="K688" s="54"/>
      <c r="L688" s="54"/>
      <c r="M688" s="54"/>
      <c r="N688" s="54"/>
    </row>
    <row r="689" ht="14.25" customHeight="1">
      <c r="A689" s="54"/>
      <c r="B689" s="54"/>
      <c r="C689" s="54"/>
      <c r="D689" s="54"/>
      <c r="E689" s="54"/>
      <c r="F689" s="54"/>
      <c r="G689" s="54"/>
      <c r="H689" s="54"/>
      <c r="I689" s="54"/>
      <c r="J689" s="54"/>
      <c r="K689" s="54"/>
      <c r="L689" s="54"/>
      <c r="M689" s="54"/>
      <c r="N689" s="54"/>
    </row>
    <row r="690" ht="14.25" customHeight="1">
      <c r="A690" s="54"/>
      <c r="B690" s="54"/>
      <c r="C690" s="54"/>
      <c r="D690" s="54"/>
      <c r="E690" s="54"/>
      <c r="F690" s="54"/>
      <c r="G690" s="54"/>
      <c r="H690" s="54"/>
      <c r="I690" s="54"/>
      <c r="J690" s="54"/>
      <c r="K690" s="54"/>
      <c r="L690" s="54"/>
      <c r="M690" s="54"/>
      <c r="N690" s="54"/>
    </row>
    <row r="691" ht="14.25" customHeight="1">
      <c r="A691" s="54"/>
      <c r="B691" s="54"/>
      <c r="C691" s="54"/>
      <c r="D691" s="54"/>
      <c r="E691" s="54"/>
      <c r="F691" s="54"/>
      <c r="G691" s="54"/>
      <c r="H691" s="54"/>
      <c r="I691" s="54"/>
      <c r="J691" s="54"/>
      <c r="K691" s="54"/>
      <c r="L691" s="54"/>
      <c r="M691" s="54"/>
      <c r="N691" s="54"/>
    </row>
    <row r="692" ht="14.25" customHeight="1">
      <c r="A692" s="54"/>
      <c r="B692" s="54"/>
      <c r="C692" s="54"/>
      <c r="D692" s="54"/>
      <c r="E692" s="54"/>
      <c r="F692" s="54"/>
      <c r="G692" s="54"/>
      <c r="H692" s="54"/>
      <c r="I692" s="54"/>
      <c r="J692" s="54"/>
      <c r="K692" s="54"/>
      <c r="L692" s="54"/>
      <c r="M692" s="54"/>
      <c r="N692" s="54"/>
    </row>
    <row r="693" ht="14.25" customHeight="1">
      <c r="A693" s="54"/>
      <c r="B693" s="54"/>
      <c r="C693" s="54"/>
      <c r="D693" s="54"/>
      <c r="E693" s="54"/>
      <c r="F693" s="54"/>
      <c r="G693" s="54"/>
      <c r="H693" s="54"/>
      <c r="I693" s="54"/>
      <c r="J693" s="54"/>
      <c r="K693" s="54"/>
      <c r="L693" s="54"/>
      <c r="M693" s="54"/>
      <c r="N693" s="54"/>
    </row>
    <row r="694" ht="14.25" customHeight="1">
      <c r="A694" s="54"/>
      <c r="B694" s="54"/>
      <c r="C694" s="54"/>
      <c r="D694" s="54"/>
      <c r="E694" s="54"/>
      <c r="F694" s="54"/>
      <c r="G694" s="54"/>
      <c r="H694" s="54"/>
      <c r="I694" s="54"/>
      <c r="J694" s="54"/>
      <c r="K694" s="54"/>
      <c r="L694" s="54"/>
      <c r="M694" s="54"/>
      <c r="N694" s="54"/>
    </row>
    <row r="695" ht="14.25" customHeight="1">
      <c r="A695" s="54"/>
      <c r="B695" s="54"/>
      <c r="C695" s="54"/>
      <c r="D695" s="54"/>
      <c r="E695" s="54"/>
      <c r="F695" s="54"/>
      <c r="G695" s="54"/>
      <c r="H695" s="54"/>
      <c r="I695" s="54"/>
      <c r="J695" s="54"/>
      <c r="K695" s="54"/>
      <c r="L695" s="54"/>
      <c r="M695" s="54"/>
      <c r="N695" s="54"/>
    </row>
    <row r="696" ht="14.25" customHeight="1">
      <c r="A696" s="54"/>
      <c r="B696" s="54"/>
      <c r="C696" s="54"/>
      <c r="D696" s="54"/>
      <c r="E696" s="54"/>
      <c r="F696" s="54"/>
      <c r="G696" s="54"/>
      <c r="H696" s="54"/>
      <c r="I696" s="54"/>
      <c r="J696" s="54"/>
      <c r="K696" s="54"/>
      <c r="L696" s="54"/>
      <c r="M696" s="54"/>
      <c r="N696" s="54"/>
    </row>
    <row r="697" ht="14.25" customHeight="1">
      <c r="A697" s="54"/>
      <c r="B697" s="54"/>
      <c r="C697" s="54"/>
      <c r="D697" s="54"/>
      <c r="E697" s="54"/>
      <c r="F697" s="54"/>
      <c r="G697" s="54"/>
      <c r="H697" s="54"/>
      <c r="I697" s="54"/>
      <c r="J697" s="54"/>
      <c r="K697" s="54"/>
      <c r="L697" s="54"/>
      <c r="M697" s="54"/>
      <c r="N697" s="54"/>
    </row>
    <row r="698" ht="14.25" customHeight="1">
      <c r="A698" s="54"/>
      <c r="B698" s="54"/>
      <c r="C698" s="54"/>
      <c r="D698" s="54"/>
      <c r="E698" s="54"/>
      <c r="F698" s="54"/>
      <c r="G698" s="54"/>
      <c r="H698" s="54"/>
      <c r="I698" s="54"/>
      <c r="J698" s="54"/>
      <c r="K698" s="54"/>
      <c r="L698" s="54"/>
      <c r="M698" s="54"/>
      <c r="N698" s="54"/>
    </row>
    <row r="699" ht="14.25" customHeight="1">
      <c r="A699" s="54"/>
      <c r="B699" s="54"/>
      <c r="C699" s="54"/>
      <c r="D699" s="54"/>
      <c r="E699" s="54"/>
      <c r="F699" s="54"/>
      <c r="G699" s="54"/>
      <c r="H699" s="54"/>
      <c r="I699" s="54"/>
      <c r="J699" s="54"/>
      <c r="K699" s="54"/>
      <c r="L699" s="54"/>
      <c r="M699" s="54"/>
      <c r="N699" s="54"/>
    </row>
    <row r="700" ht="14.25" customHeight="1">
      <c r="A700" s="54"/>
      <c r="B700" s="54"/>
      <c r="C700" s="54"/>
      <c r="D700" s="54"/>
      <c r="E700" s="54"/>
      <c r="F700" s="54"/>
      <c r="G700" s="54"/>
      <c r="H700" s="54"/>
      <c r="I700" s="54"/>
      <c r="J700" s="54"/>
      <c r="K700" s="54"/>
      <c r="L700" s="54"/>
      <c r="M700" s="54"/>
      <c r="N700" s="54"/>
    </row>
    <row r="701" ht="14.25" customHeight="1">
      <c r="A701" s="54"/>
      <c r="B701" s="54"/>
      <c r="C701" s="54"/>
      <c r="D701" s="54"/>
      <c r="E701" s="54"/>
      <c r="F701" s="54"/>
      <c r="G701" s="54"/>
      <c r="H701" s="54"/>
      <c r="I701" s="54"/>
      <c r="J701" s="54"/>
      <c r="K701" s="54"/>
      <c r="L701" s="54"/>
      <c r="M701" s="54"/>
      <c r="N701" s="54"/>
    </row>
    <row r="702" ht="14.25" customHeight="1">
      <c r="A702" s="54"/>
      <c r="B702" s="54"/>
      <c r="C702" s="54"/>
      <c r="D702" s="54"/>
      <c r="E702" s="54"/>
      <c r="F702" s="54"/>
      <c r="G702" s="54"/>
      <c r="H702" s="54"/>
      <c r="I702" s="54"/>
      <c r="J702" s="54"/>
      <c r="K702" s="54"/>
      <c r="L702" s="54"/>
      <c r="M702" s="54"/>
      <c r="N702" s="54"/>
    </row>
    <row r="703" ht="14.25" customHeight="1">
      <c r="A703" s="54"/>
      <c r="B703" s="54"/>
      <c r="C703" s="54"/>
      <c r="D703" s="54"/>
      <c r="E703" s="54"/>
      <c r="F703" s="54"/>
      <c r="G703" s="54"/>
      <c r="H703" s="54"/>
      <c r="I703" s="54"/>
      <c r="J703" s="54"/>
      <c r="K703" s="54"/>
      <c r="L703" s="54"/>
      <c r="M703" s="54"/>
      <c r="N703" s="54"/>
    </row>
    <row r="704" ht="14.25" customHeight="1">
      <c r="A704" s="54"/>
      <c r="B704" s="54"/>
      <c r="C704" s="54"/>
      <c r="D704" s="54"/>
      <c r="E704" s="54"/>
      <c r="F704" s="54"/>
      <c r="G704" s="54"/>
      <c r="H704" s="54"/>
      <c r="I704" s="54"/>
      <c r="J704" s="54"/>
      <c r="K704" s="54"/>
      <c r="L704" s="54"/>
      <c r="M704" s="54"/>
      <c r="N704" s="54"/>
    </row>
    <row r="705" ht="14.25" customHeight="1">
      <c r="A705" s="54"/>
      <c r="B705" s="54"/>
      <c r="C705" s="54"/>
      <c r="D705" s="54"/>
      <c r="E705" s="54"/>
      <c r="F705" s="54"/>
      <c r="G705" s="54"/>
      <c r="H705" s="54"/>
      <c r="I705" s="54"/>
      <c r="J705" s="54"/>
      <c r="K705" s="54"/>
      <c r="L705" s="54"/>
      <c r="M705" s="54"/>
      <c r="N705" s="54"/>
    </row>
    <row r="706" ht="14.25" customHeight="1">
      <c r="A706" s="54"/>
      <c r="B706" s="54"/>
      <c r="C706" s="54"/>
      <c r="D706" s="54"/>
      <c r="E706" s="54"/>
      <c r="F706" s="54"/>
      <c r="G706" s="54"/>
      <c r="H706" s="54"/>
      <c r="I706" s="54"/>
      <c r="J706" s="54"/>
      <c r="K706" s="54"/>
      <c r="L706" s="54"/>
      <c r="M706" s="54"/>
      <c r="N706" s="54"/>
    </row>
    <row r="707" ht="14.25" customHeight="1">
      <c r="A707" s="54"/>
      <c r="B707" s="54"/>
      <c r="C707" s="54"/>
      <c r="D707" s="54"/>
      <c r="E707" s="54"/>
      <c r="F707" s="54"/>
      <c r="G707" s="54"/>
      <c r="H707" s="54"/>
      <c r="I707" s="54"/>
      <c r="J707" s="54"/>
      <c r="K707" s="54"/>
      <c r="L707" s="54"/>
      <c r="M707" s="54"/>
      <c r="N707" s="54"/>
    </row>
    <row r="708" ht="14.25" customHeight="1">
      <c r="A708" s="54"/>
      <c r="B708" s="54"/>
      <c r="C708" s="54"/>
      <c r="D708" s="54"/>
      <c r="E708" s="54"/>
      <c r="F708" s="54"/>
      <c r="G708" s="54"/>
      <c r="H708" s="54"/>
      <c r="I708" s="54"/>
      <c r="J708" s="54"/>
      <c r="K708" s="54"/>
      <c r="L708" s="54"/>
      <c r="M708" s="54"/>
      <c r="N708" s="54"/>
    </row>
    <row r="709" ht="14.25" customHeight="1">
      <c r="A709" s="54"/>
      <c r="B709" s="54"/>
      <c r="C709" s="54"/>
      <c r="D709" s="54"/>
      <c r="E709" s="54"/>
      <c r="F709" s="54"/>
      <c r="G709" s="54"/>
      <c r="H709" s="54"/>
      <c r="I709" s="54"/>
      <c r="J709" s="54"/>
      <c r="K709" s="54"/>
      <c r="L709" s="54"/>
      <c r="M709" s="54"/>
      <c r="N709" s="54"/>
    </row>
    <row r="710" ht="14.25" customHeight="1">
      <c r="A710" s="54"/>
      <c r="B710" s="54"/>
      <c r="C710" s="54"/>
      <c r="D710" s="54"/>
      <c r="E710" s="54"/>
      <c r="F710" s="54"/>
      <c r="G710" s="54"/>
      <c r="H710" s="54"/>
      <c r="I710" s="54"/>
      <c r="J710" s="54"/>
      <c r="K710" s="54"/>
      <c r="L710" s="54"/>
      <c r="M710" s="54"/>
      <c r="N710" s="54"/>
    </row>
    <row r="711" ht="14.25" customHeight="1">
      <c r="A711" s="54"/>
      <c r="B711" s="54"/>
      <c r="C711" s="54"/>
      <c r="D711" s="54"/>
      <c r="E711" s="54"/>
      <c r="F711" s="54"/>
      <c r="G711" s="54"/>
      <c r="H711" s="54"/>
      <c r="I711" s="54"/>
      <c r="J711" s="54"/>
      <c r="K711" s="54"/>
      <c r="L711" s="54"/>
      <c r="M711" s="54"/>
      <c r="N711" s="54"/>
    </row>
    <row r="712" ht="14.25" customHeight="1">
      <c r="A712" s="54"/>
      <c r="B712" s="54"/>
      <c r="C712" s="54"/>
      <c r="D712" s="54"/>
      <c r="E712" s="54"/>
      <c r="F712" s="54"/>
      <c r="G712" s="54"/>
      <c r="H712" s="54"/>
      <c r="I712" s="54"/>
      <c r="J712" s="54"/>
      <c r="K712" s="54"/>
      <c r="L712" s="54"/>
      <c r="M712" s="54"/>
      <c r="N712" s="54"/>
    </row>
    <row r="713" ht="14.25" customHeight="1">
      <c r="A713" s="54"/>
      <c r="B713" s="54"/>
      <c r="C713" s="54"/>
      <c r="D713" s="54"/>
      <c r="E713" s="54"/>
      <c r="F713" s="54"/>
      <c r="G713" s="54"/>
      <c r="H713" s="54"/>
      <c r="I713" s="54"/>
      <c r="J713" s="54"/>
      <c r="K713" s="54"/>
      <c r="L713" s="54"/>
      <c r="M713" s="54"/>
      <c r="N713" s="54"/>
    </row>
    <row r="714" ht="14.25" customHeight="1">
      <c r="A714" s="54"/>
      <c r="B714" s="54"/>
      <c r="C714" s="54"/>
      <c r="D714" s="54"/>
      <c r="E714" s="54"/>
      <c r="F714" s="54"/>
      <c r="G714" s="54"/>
      <c r="H714" s="54"/>
      <c r="I714" s="54"/>
      <c r="J714" s="54"/>
      <c r="K714" s="54"/>
      <c r="L714" s="54"/>
      <c r="M714" s="54"/>
      <c r="N714" s="54"/>
    </row>
    <row r="715" ht="14.25" customHeight="1">
      <c r="A715" s="54"/>
      <c r="B715" s="54"/>
      <c r="C715" s="54"/>
      <c r="D715" s="54"/>
      <c r="E715" s="54"/>
      <c r="F715" s="54"/>
      <c r="G715" s="54"/>
      <c r="H715" s="54"/>
      <c r="I715" s="54"/>
      <c r="J715" s="54"/>
      <c r="K715" s="54"/>
      <c r="L715" s="54"/>
      <c r="M715" s="54"/>
      <c r="N715" s="54"/>
    </row>
    <row r="716" ht="14.25" customHeight="1">
      <c r="A716" s="54"/>
      <c r="B716" s="54"/>
      <c r="C716" s="54"/>
      <c r="D716" s="54"/>
      <c r="E716" s="54"/>
      <c r="F716" s="54"/>
      <c r="G716" s="54"/>
      <c r="H716" s="54"/>
      <c r="I716" s="54"/>
      <c r="J716" s="54"/>
      <c r="K716" s="54"/>
      <c r="L716" s="54"/>
      <c r="M716" s="54"/>
      <c r="N716" s="54"/>
    </row>
    <row r="717" ht="14.25" customHeight="1">
      <c r="A717" s="54"/>
      <c r="B717" s="54"/>
      <c r="C717" s="54"/>
      <c r="D717" s="54"/>
      <c r="E717" s="54"/>
      <c r="F717" s="54"/>
      <c r="G717" s="54"/>
      <c r="H717" s="54"/>
      <c r="I717" s="54"/>
      <c r="J717" s="54"/>
      <c r="K717" s="54"/>
      <c r="L717" s="54"/>
      <c r="M717" s="54"/>
      <c r="N717" s="54"/>
    </row>
    <row r="718" ht="14.25" customHeight="1">
      <c r="A718" s="54"/>
      <c r="B718" s="54"/>
      <c r="C718" s="54"/>
      <c r="D718" s="54"/>
      <c r="E718" s="54"/>
      <c r="F718" s="54"/>
      <c r="G718" s="54"/>
      <c r="H718" s="54"/>
      <c r="I718" s="54"/>
      <c r="J718" s="54"/>
      <c r="K718" s="54"/>
      <c r="L718" s="54"/>
      <c r="M718" s="54"/>
      <c r="N718" s="54"/>
    </row>
    <row r="719" ht="14.25" customHeight="1">
      <c r="A719" s="54"/>
      <c r="B719" s="54"/>
      <c r="C719" s="54"/>
      <c r="D719" s="54"/>
      <c r="E719" s="54"/>
      <c r="F719" s="54"/>
      <c r="G719" s="54"/>
      <c r="H719" s="54"/>
      <c r="I719" s="54"/>
      <c r="J719" s="54"/>
      <c r="K719" s="54"/>
      <c r="L719" s="54"/>
      <c r="M719" s="54"/>
      <c r="N719" s="54"/>
    </row>
    <row r="720" ht="14.25" customHeight="1">
      <c r="A720" s="54"/>
      <c r="B720" s="54"/>
      <c r="C720" s="54"/>
      <c r="D720" s="54"/>
      <c r="E720" s="54"/>
      <c r="F720" s="54"/>
      <c r="G720" s="54"/>
      <c r="H720" s="54"/>
      <c r="I720" s="54"/>
      <c r="J720" s="54"/>
      <c r="K720" s="54"/>
      <c r="L720" s="54"/>
      <c r="M720" s="54"/>
      <c r="N720" s="54"/>
    </row>
    <row r="721" ht="14.25" customHeight="1">
      <c r="A721" s="54"/>
      <c r="B721" s="54"/>
      <c r="C721" s="54"/>
      <c r="D721" s="54"/>
      <c r="E721" s="54"/>
      <c r="F721" s="54"/>
      <c r="G721" s="54"/>
      <c r="H721" s="54"/>
      <c r="I721" s="54"/>
      <c r="J721" s="54"/>
      <c r="K721" s="54"/>
      <c r="L721" s="54"/>
      <c r="M721" s="54"/>
      <c r="N721" s="54"/>
    </row>
    <row r="722" ht="14.25" customHeight="1">
      <c r="A722" s="54"/>
      <c r="B722" s="54"/>
      <c r="C722" s="54"/>
      <c r="D722" s="54"/>
      <c r="E722" s="54"/>
      <c r="F722" s="54"/>
      <c r="G722" s="54"/>
      <c r="H722" s="54"/>
      <c r="I722" s="54"/>
      <c r="J722" s="54"/>
      <c r="K722" s="54"/>
      <c r="L722" s="54"/>
      <c r="M722" s="54"/>
      <c r="N722" s="54"/>
    </row>
    <row r="723" ht="14.25" customHeight="1">
      <c r="A723" s="54"/>
      <c r="B723" s="54"/>
      <c r="C723" s="54"/>
      <c r="D723" s="54"/>
      <c r="E723" s="54"/>
      <c r="F723" s="54"/>
      <c r="G723" s="54"/>
      <c r="H723" s="54"/>
      <c r="I723" s="54"/>
      <c r="J723" s="54"/>
      <c r="K723" s="54"/>
      <c r="L723" s="54"/>
      <c r="M723" s="54"/>
      <c r="N723" s="54"/>
    </row>
    <row r="724" ht="14.25" customHeight="1">
      <c r="A724" s="54"/>
      <c r="B724" s="54"/>
      <c r="C724" s="54"/>
      <c r="D724" s="54"/>
      <c r="E724" s="54"/>
      <c r="F724" s="54"/>
      <c r="G724" s="54"/>
      <c r="H724" s="54"/>
      <c r="I724" s="54"/>
      <c r="J724" s="54"/>
      <c r="K724" s="54"/>
      <c r="L724" s="54"/>
      <c r="M724" s="54"/>
      <c r="N724" s="54"/>
    </row>
    <row r="725" ht="14.25" customHeight="1">
      <c r="A725" s="54"/>
      <c r="B725" s="54"/>
      <c r="C725" s="54"/>
      <c r="D725" s="54"/>
      <c r="E725" s="54"/>
      <c r="F725" s="54"/>
      <c r="G725" s="54"/>
      <c r="H725" s="54"/>
      <c r="I725" s="54"/>
      <c r="J725" s="54"/>
      <c r="K725" s="54"/>
      <c r="L725" s="54"/>
      <c r="M725" s="54"/>
      <c r="N725" s="54"/>
    </row>
    <row r="726" ht="14.25" customHeight="1">
      <c r="A726" s="54"/>
      <c r="B726" s="54"/>
      <c r="C726" s="54"/>
      <c r="D726" s="54"/>
      <c r="E726" s="54"/>
      <c r="F726" s="54"/>
      <c r="G726" s="54"/>
      <c r="H726" s="54"/>
      <c r="I726" s="54"/>
      <c r="J726" s="54"/>
      <c r="K726" s="54"/>
      <c r="L726" s="54"/>
      <c r="M726" s="54"/>
      <c r="N726" s="54"/>
    </row>
    <row r="727" ht="14.25" customHeight="1">
      <c r="A727" s="54"/>
      <c r="B727" s="54"/>
      <c r="C727" s="54"/>
      <c r="D727" s="54"/>
      <c r="E727" s="54"/>
      <c r="F727" s="54"/>
      <c r="G727" s="54"/>
      <c r="H727" s="54"/>
      <c r="I727" s="54"/>
      <c r="J727" s="54"/>
      <c r="K727" s="54"/>
      <c r="L727" s="54"/>
      <c r="M727" s="54"/>
      <c r="N727" s="54"/>
    </row>
    <row r="728" ht="14.25" customHeight="1">
      <c r="A728" s="54"/>
      <c r="B728" s="54"/>
      <c r="C728" s="54"/>
      <c r="D728" s="54"/>
      <c r="E728" s="54"/>
      <c r="F728" s="54"/>
      <c r="G728" s="54"/>
      <c r="H728" s="54"/>
      <c r="I728" s="54"/>
      <c r="J728" s="54"/>
      <c r="K728" s="54"/>
      <c r="L728" s="54"/>
      <c r="M728" s="54"/>
      <c r="N728" s="54"/>
    </row>
    <row r="729" ht="14.25" customHeight="1">
      <c r="A729" s="54"/>
      <c r="B729" s="54"/>
      <c r="C729" s="54"/>
      <c r="D729" s="54"/>
      <c r="E729" s="54"/>
      <c r="F729" s="54"/>
      <c r="G729" s="54"/>
      <c r="H729" s="54"/>
      <c r="I729" s="54"/>
      <c r="J729" s="54"/>
      <c r="K729" s="54"/>
      <c r="L729" s="54"/>
      <c r="M729" s="54"/>
      <c r="N729" s="54"/>
    </row>
    <row r="730" ht="14.25" customHeight="1">
      <c r="A730" s="54"/>
      <c r="B730" s="54"/>
      <c r="C730" s="54"/>
      <c r="D730" s="54"/>
      <c r="E730" s="54"/>
      <c r="F730" s="54"/>
      <c r="G730" s="54"/>
      <c r="H730" s="54"/>
      <c r="I730" s="54"/>
      <c r="J730" s="54"/>
      <c r="K730" s="54"/>
      <c r="L730" s="54"/>
      <c r="M730" s="54"/>
      <c r="N730" s="54"/>
    </row>
    <row r="731" ht="14.25" customHeight="1">
      <c r="A731" s="54"/>
      <c r="B731" s="54"/>
      <c r="C731" s="54"/>
      <c r="D731" s="54"/>
      <c r="E731" s="54"/>
      <c r="F731" s="54"/>
      <c r="G731" s="54"/>
      <c r="H731" s="54"/>
      <c r="I731" s="54"/>
      <c r="J731" s="54"/>
      <c r="K731" s="54"/>
      <c r="L731" s="54"/>
      <c r="M731" s="54"/>
      <c r="N731" s="54"/>
    </row>
    <row r="732" ht="14.25" customHeight="1">
      <c r="A732" s="54"/>
      <c r="B732" s="54"/>
      <c r="C732" s="54"/>
      <c r="D732" s="54"/>
      <c r="E732" s="54"/>
      <c r="F732" s="54"/>
      <c r="G732" s="54"/>
      <c r="H732" s="54"/>
      <c r="I732" s="54"/>
      <c r="J732" s="54"/>
      <c r="K732" s="54"/>
      <c r="L732" s="54"/>
      <c r="M732" s="54"/>
      <c r="N732" s="54"/>
    </row>
    <row r="733" ht="14.25" customHeight="1">
      <c r="A733" s="54"/>
      <c r="B733" s="54"/>
      <c r="C733" s="54"/>
      <c r="D733" s="54"/>
      <c r="E733" s="54"/>
      <c r="F733" s="54"/>
      <c r="G733" s="54"/>
      <c r="H733" s="54"/>
      <c r="I733" s="54"/>
      <c r="J733" s="54"/>
      <c r="K733" s="54"/>
      <c r="L733" s="54"/>
      <c r="M733" s="54"/>
      <c r="N733" s="54"/>
    </row>
    <row r="734" ht="14.25" customHeight="1">
      <c r="A734" s="54"/>
      <c r="B734" s="54"/>
      <c r="C734" s="54"/>
      <c r="D734" s="54"/>
      <c r="E734" s="54"/>
      <c r="F734" s="54"/>
      <c r="G734" s="54"/>
      <c r="H734" s="54"/>
      <c r="I734" s="54"/>
      <c r="J734" s="54"/>
      <c r="K734" s="54"/>
      <c r="L734" s="54"/>
      <c r="M734" s="54"/>
      <c r="N734" s="54"/>
    </row>
    <row r="735" ht="14.25" customHeight="1">
      <c r="A735" s="54"/>
      <c r="B735" s="54"/>
      <c r="C735" s="54"/>
      <c r="D735" s="54"/>
      <c r="E735" s="54"/>
      <c r="F735" s="54"/>
      <c r="G735" s="54"/>
      <c r="H735" s="54"/>
      <c r="I735" s="54"/>
      <c r="J735" s="54"/>
      <c r="K735" s="54"/>
      <c r="L735" s="54"/>
      <c r="M735" s="54"/>
      <c r="N735" s="54"/>
    </row>
    <row r="736" ht="14.25" customHeight="1">
      <c r="A736" s="54"/>
      <c r="B736" s="54"/>
      <c r="C736" s="54"/>
      <c r="D736" s="54"/>
      <c r="E736" s="54"/>
      <c r="F736" s="54"/>
      <c r="G736" s="54"/>
      <c r="H736" s="54"/>
      <c r="I736" s="54"/>
      <c r="J736" s="54"/>
      <c r="K736" s="54"/>
      <c r="L736" s="54"/>
      <c r="M736" s="54"/>
      <c r="N736" s="54"/>
    </row>
    <row r="737" ht="14.25" customHeight="1">
      <c r="A737" s="54"/>
      <c r="B737" s="54"/>
      <c r="C737" s="54"/>
      <c r="D737" s="54"/>
      <c r="E737" s="54"/>
      <c r="F737" s="54"/>
      <c r="G737" s="54"/>
      <c r="H737" s="54"/>
      <c r="I737" s="54"/>
      <c r="J737" s="54"/>
      <c r="K737" s="54"/>
      <c r="L737" s="54"/>
      <c r="M737" s="54"/>
      <c r="N737" s="54"/>
    </row>
    <row r="738" ht="14.25" customHeight="1">
      <c r="A738" s="54"/>
      <c r="B738" s="54"/>
      <c r="C738" s="54"/>
      <c r="D738" s="54"/>
      <c r="E738" s="54"/>
      <c r="F738" s="54"/>
      <c r="G738" s="54"/>
      <c r="H738" s="54"/>
      <c r="I738" s="54"/>
      <c r="J738" s="54"/>
      <c r="K738" s="54"/>
      <c r="L738" s="54"/>
      <c r="M738" s="54"/>
      <c r="N738" s="54"/>
    </row>
    <row r="739" ht="14.25" customHeight="1">
      <c r="A739" s="54"/>
      <c r="B739" s="54"/>
      <c r="C739" s="54"/>
      <c r="D739" s="54"/>
      <c r="E739" s="54"/>
      <c r="F739" s="54"/>
      <c r="G739" s="54"/>
      <c r="H739" s="54"/>
      <c r="I739" s="54"/>
      <c r="J739" s="54"/>
      <c r="K739" s="54"/>
      <c r="L739" s="54"/>
      <c r="M739" s="54"/>
      <c r="N739" s="54"/>
    </row>
    <row r="740" ht="14.25" customHeight="1">
      <c r="A740" s="54"/>
      <c r="B740" s="54"/>
      <c r="C740" s="54"/>
      <c r="D740" s="54"/>
      <c r="E740" s="54"/>
      <c r="F740" s="54"/>
      <c r="G740" s="54"/>
      <c r="H740" s="54"/>
      <c r="I740" s="54"/>
      <c r="J740" s="54"/>
      <c r="K740" s="54"/>
      <c r="L740" s="54"/>
      <c r="M740" s="54"/>
      <c r="N740" s="54"/>
    </row>
    <row r="741" ht="14.25" customHeight="1">
      <c r="A741" s="54"/>
      <c r="B741" s="54"/>
      <c r="C741" s="54"/>
      <c r="D741" s="54"/>
      <c r="E741" s="54"/>
      <c r="F741" s="54"/>
      <c r="G741" s="54"/>
      <c r="H741" s="54"/>
      <c r="I741" s="54"/>
      <c r="J741" s="54"/>
      <c r="K741" s="54"/>
      <c r="L741" s="54"/>
      <c r="M741" s="54"/>
      <c r="N741" s="54"/>
    </row>
    <row r="742" ht="14.25" customHeight="1">
      <c r="A742" s="54"/>
      <c r="B742" s="54"/>
      <c r="C742" s="54"/>
      <c r="D742" s="54"/>
      <c r="E742" s="54"/>
      <c r="F742" s="54"/>
      <c r="G742" s="54"/>
      <c r="H742" s="54"/>
      <c r="I742" s="54"/>
      <c r="J742" s="54"/>
      <c r="K742" s="54"/>
      <c r="L742" s="54"/>
      <c r="M742" s="54"/>
      <c r="N742" s="54"/>
    </row>
    <row r="743" ht="14.25" customHeight="1">
      <c r="A743" s="54"/>
      <c r="B743" s="54"/>
      <c r="C743" s="54"/>
      <c r="D743" s="54"/>
      <c r="E743" s="54"/>
      <c r="F743" s="54"/>
      <c r="G743" s="54"/>
      <c r="H743" s="54"/>
      <c r="I743" s="54"/>
      <c r="J743" s="54"/>
      <c r="K743" s="54"/>
      <c r="L743" s="54"/>
      <c r="M743" s="54"/>
      <c r="N743" s="54"/>
    </row>
    <row r="744" ht="14.25" customHeight="1">
      <c r="A744" s="54"/>
      <c r="B744" s="54"/>
      <c r="C744" s="54"/>
      <c r="D744" s="54"/>
      <c r="E744" s="54"/>
      <c r="F744" s="54"/>
      <c r="G744" s="54"/>
      <c r="H744" s="54"/>
      <c r="I744" s="54"/>
      <c r="J744" s="54"/>
      <c r="K744" s="54"/>
      <c r="L744" s="54"/>
      <c r="M744" s="54"/>
      <c r="N744" s="54"/>
    </row>
    <row r="745" ht="14.25" customHeight="1">
      <c r="A745" s="54"/>
      <c r="B745" s="54"/>
      <c r="C745" s="54"/>
      <c r="D745" s="54"/>
      <c r="E745" s="54"/>
      <c r="F745" s="54"/>
      <c r="G745" s="54"/>
      <c r="H745" s="54"/>
      <c r="I745" s="54"/>
      <c r="J745" s="54"/>
      <c r="K745" s="54"/>
      <c r="L745" s="54"/>
      <c r="M745" s="54"/>
      <c r="N745" s="54"/>
    </row>
    <row r="746" ht="14.25" customHeight="1">
      <c r="A746" s="54"/>
      <c r="B746" s="54"/>
      <c r="C746" s="54"/>
      <c r="D746" s="54"/>
      <c r="E746" s="54"/>
      <c r="F746" s="54"/>
      <c r="G746" s="54"/>
      <c r="H746" s="54"/>
      <c r="I746" s="54"/>
      <c r="J746" s="54"/>
      <c r="K746" s="54"/>
      <c r="L746" s="54"/>
      <c r="M746" s="54"/>
      <c r="N746" s="54"/>
    </row>
    <row r="747" ht="14.25" customHeight="1">
      <c r="A747" s="54"/>
      <c r="B747" s="54"/>
      <c r="C747" s="54"/>
      <c r="D747" s="54"/>
      <c r="E747" s="54"/>
      <c r="F747" s="54"/>
      <c r="G747" s="54"/>
      <c r="H747" s="54"/>
      <c r="I747" s="54"/>
      <c r="J747" s="54"/>
      <c r="K747" s="54"/>
      <c r="L747" s="54"/>
      <c r="M747" s="54"/>
      <c r="N747" s="54"/>
    </row>
    <row r="748" ht="14.25" customHeight="1">
      <c r="A748" s="54"/>
      <c r="B748" s="54"/>
      <c r="C748" s="54"/>
      <c r="D748" s="54"/>
      <c r="E748" s="54"/>
      <c r="F748" s="54"/>
      <c r="G748" s="54"/>
      <c r="H748" s="54"/>
      <c r="I748" s="54"/>
      <c r="J748" s="54"/>
      <c r="K748" s="54"/>
      <c r="L748" s="54"/>
      <c r="M748" s="54"/>
      <c r="N748" s="54"/>
    </row>
    <row r="749" ht="14.25" customHeight="1">
      <c r="A749" s="54"/>
      <c r="B749" s="54"/>
      <c r="C749" s="54"/>
      <c r="D749" s="54"/>
      <c r="E749" s="54"/>
      <c r="F749" s="54"/>
      <c r="G749" s="54"/>
      <c r="H749" s="54"/>
      <c r="I749" s="54"/>
      <c r="J749" s="54"/>
      <c r="K749" s="54"/>
      <c r="L749" s="54"/>
      <c r="M749" s="54"/>
      <c r="N749" s="54"/>
    </row>
    <row r="750" ht="14.25" customHeight="1">
      <c r="A750" s="54"/>
      <c r="B750" s="54"/>
      <c r="C750" s="54"/>
      <c r="D750" s="54"/>
      <c r="E750" s="54"/>
      <c r="F750" s="54"/>
      <c r="G750" s="54"/>
      <c r="H750" s="54"/>
      <c r="I750" s="54"/>
      <c r="J750" s="54"/>
      <c r="K750" s="54"/>
      <c r="L750" s="54"/>
      <c r="M750" s="54"/>
      <c r="N750" s="54"/>
    </row>
    <row r="751" ht="14.25" customHeight="1">
      <c r="A751" s="54"/>
      <c r="B751" s="54"/>
      <c r="C751" s="54"/>
      <c r="D751" s="54"/>
      <c r="E751" s="54"/>
      <c r="F751" s="54"/>
      <c r="G751" s="54"/>
      <c r="H751" s="54"/>
      <c r="I751" s="54"/>
      <c r="J751" s="54"/>
      <c r="K751" s="54"/>
      <c r="L751" s="54"/>
      <c r="M751" s="54"/>
      <c r="N751" s="54"/>
    </row>
    <row r="752" ht="14.25" customHeight="1">
      <c r="A752" s="54"/>
      <c r="B752" s="54"/>
      <c r="C752" s="54"/>
      <c r="D752" s="54"/>
      <c r="E752" s="54"/>
      <c r="F752" s="54"/>
      <c r="G752" s="54"/>
      <c r="H752" s="54"/>
      <c r="I752" s="54"/>
      <c r="J752" s="54"/>
      <c r="K752" s="54"/>
      <c r="L752" s="54"/>
      <c r="M752" s="54"/>
      <c r="N752" s="54"/>
    </row>
    <row r="753" ht="14.25" customHeight="1">
      <c r="A753" s="54"/>
      <c r="B753" s="54"/>
      <c r="C753" s="54"/>
      <c r="D753" s="54"/>
      <c r="E753" s="54"/>
      <c r="F753" s="54"/>
      <c r="G753" s="54"/>
      <c r="H753" s="54"/>
      <c r="I753" s="54"/>
      <c r="J753" s="54"/>
      <c r="K753" s="54"/>
      <c r="L753" s="54"/>
      <c r="M753" s="54"/>
      <c r="N753" s="54"/>
    </row>
    <row r="754" ht="14.25" customHeight="1">
      <c r="A754" s="54"/>
      <c r="B754" s="54"/>
      <c r="C754" s="54"/>
      <c r="D754" s="54"/>
      <c r="E754" s="54"/>
      <c r="F754" s="54"/>
      <c r="G754" s="54"/>
      <c r="H754" s="54"/>
      <c r="I754" s="54"/>
      <c r="J754" s="54"/>
      <c r="K754" s="54"/>
      <c r="L754" s="54"/>
      <c r="M754" s="54"/>
      <c r="N754" s="54"/>
    </row>
    <row r="755" ht="14.25" customHeight="1">
      <c r="A755" s="54"/>
      <c r="B755" s="54"/>
      <c r="C755" s="54"/>
      <c r="D755" s="54"/>
      <c r="E755" s="54"/>
      <c r="F755" s="54"/>
      <c r="G755" s="54"/>
      <c r="H755" s="54"/>
      <c r="I755" s="54"/>
      <c r="J755" s="54"/>
      <c r="K755" s="54"/>
      <c r="L755" s="54"/>
      <c r="M755" s="54"/>
      <c r="N755" s="54"/>
    </row>
    <row r="756" ht="14.25" customHeight="1">
      <c r="A756" s="54"/>
      <c r="B756" s="54"/>
      <c r="C756" s="54"/>
      <c r="D756" s="54"/>
      <c r="E756" s="54"/>
      <c r="F756" s="54"/>
      <c r="G756" s="54"/>
      <c r="H756" s="54"/>
      <c r="I756" s="54"/>
      <c r="J756" s="54"/>
      <c r="K756" s="54"/>
      <c r="L756" s="54"/>
      <c r="M756" s="54"/>
      <c r="N756" s="54"/>
    </row>
    <row r="757" ht="14.25" customHeight="1">
      <c r="A757" s="54"/>
      <c r="B757" s="54"/>
      <c r="C757" s="54"/>
      <c r="D757" s="54"/>
      <c r="E757" s="54"/>
      <c r="F757" s="54"/>
      <c r="G757" s="54"/>
      <c r="H757" s="54"/>
      <c r="I757" s="54"/>
      <c r="J757" s="54"/>
      <c r="K757" s="54"/>
      <c r="L757" s="54"/>
      <c r="M757" s="54"/>
      <c r="N757" s="54"/>
    </row>
    <row r="758" ht="14.25" customHeight="1">
      <c r="A758" s="54"/>
      <c r="B758" s="54"/>
      <c r="C758" s="54"/>
      <c r="D758" s="54"/>
      <c r="E758" s="54"/>
      <c r="F758" s="54"/>
      <c r="G758" s="54"/>
      <c r="H758" s="54"/>
      <c r="I758" s="54"/>
      <c r="J758" s="54"/>
      <c r="K758" s="54"/>
      <c r="L758" s="54"/>
      <c r="M758" s="54"/>
      <c r="N758" s="54"/>
    </row>
    <row r="759" ht="14.25" customHeight="1">
      <c r="A759" s="54"/>
      <c r="B759" s="54"/>
      <c r="C759" s="54"/>
      <c r="D759" s="54"/>
      <c r="E759" s="54"/>
      <c r="F759" s="54"/>
      <c r="G759" s="54"/>
      <c r="H759" s="54"/>
      <c r="I759" s="54"/>
      <c r="J759" s="54"/>
      <c r="K759" s="54"/>
      <c r="L759" s="54"/>
      <c r="M759" s="54"/>
      <c r="N759" s="54"/>
    </row>
    <row r="760" ht="14.25" customHeight="1">
      <c r="A760" s="54"/>
      <c r="B760" s="54"/>
      <c r="C760" s="54"/>
      <c r="D760" s="54"/>
      <c r="E760" s="54"/>
      <c r="F760" s="54"/>
      <c r="G760" s="54"/>
      <c r="H760" s="54"/>
      <c r="I760" s="54"/>
      <c r="J760" s="54"/>
      <c r="K760" s="54"/>
      <c r="L760" s="54"/>
      <c r="M760" s="54"/>
      <c r="N760" s="54"/>
    </row>
    <row r="761" ht="14.25" customHeight="1">
      <c r="A761" s="54"/>
      <c r="B761" s="54"/>
      <c r="C761" s="54"/>
      <c r="D761" s="54"/>
      <c r="E761" s="54"/>
      <c r="F761" s="54"/>
      <c r="G761" s="54"/>
      <c r="H761" s="54"/>
      <c r="I761" s="54"/>
      <c r="J761" s="54"/>
      <c r="K761" s="54"/>
      <c r="L761" s="54"/>
      <c r="M761" s="54"/>
      <c r="N761" s="54"/>
    </row>
    <row r="762" ht="14.25" customHeight="1">
      <c r="A762" s="54"/>
      <c r="B762" s="54"/>
      <c r="C762" s="54"/>
      <c r="D762" s="54"/>
      <c r="E762" s="54"/>
      <c r="F762" s="54"/>
      <c r="G762" s="54"/>
      <c r="H762" s="54"/>
      <c r="I762" s="54"/>
      <c r="J762" s="54"/>
      <c r="K762" s="54"/>
      <c r="L762" s="54"/>
      <c r="M762" s="54"/>
      <c r="N762" s="54"/>
    </row>
    <row r="763" ht="14.25" customHeight="1">
      <c r="A763" s="54"/>
      <c r="B763" s="54"/>
      <c r="C763" s="54"/>
      <c r="D763" s="54"/>
      <c r="E763" s="54"/>
      <c r="F763" s="54"/>
      <c r="G763" s="54"/>
      <c r="H763" s="54"/>
      <c r="I763" s="54"/>
      <c r="J763" s="54"/>
      <c r="K763" s="54"/>
      <c r="L763" s="54"/>
      <c r="M763" s="54"/>
      <c r="N763" s="54"/>
    </row>
    <row r="764" ht="14.25" customHeight="1">
      <c r="A764" s="54"/>
      <c r="B764" s="54"/>
      <c r="C764" s="54"/>
      <c r="D764" s="54"/>
      <c r="E764" s="54"/>
      <c r="F764" s="54"/>
      <c r="G764" s="54"/>
      <c r="H764" s="54"/>
      <c r="I764" s="54"/>
      <c r="J764" s="54"/>
      <c r="K764" s="54"/>
      <c r="L764" s="54"/>
      <c r="M764" s="54"/>
      <c r="N764" s="54"/>
    </row>
    <row r="765" ht="14.25" customHeight="1">
      <c r="A765" s="54"/>
      <c r="B765" s="54"/>
      <c r="C765" s="54"/>
      <c r="D765" s="54"/>
      <c r="E765" s="54"/>
      <c r="F765" s="54"/>
      <c r="G765" s="54"/>
      <c r="H765" s="54"/>
      <c r="I765" s="54"/>
      <c r="J765" s="54"/>
      <c r="K765" s="54"/>
      <c r="L765" s="54"/>
      <c r="M765" s="54"/>
      <c r="N765" s="54"/>
    </row>
    <row r="766" ht="14.25" customHeight="1">
      <c r="A766" s="54"/>
      <c r="B766" s="54"/>
      <c r="C766" s="54"/>
      <c r="D766" s="54"/>
      <c r="E766" s="54"/>
      <c r="F766" s="54"/>
      <c r="G766" s="54"/>
      <c r="H766" s="54"/>
      <c r="I766" s="54"/>
      <c r="J766" s="54"/>
      <c r="K766" s="54"/>
      <c r="L766" s="54"/>
      <c r="M766" s="54"/>
      <c r="N766" s="54"/>
    </row>
    <row r="767" ht="14.25" customHeight="1">
      <c r="A767" s="54"/>
      <c r="B767" s="54"/>
      <c r="C767" s="54"/>
      <c r="D767" s="54"/>
      <c r="E767" s="54"/>
      <c r="F767" s="54"/>
      <c r="G767" s="54"/>
      <c r="H767" s="54"/>
      <c r="I767" s="54"/>
      <c r="J767" s="54"/>
      <c r="K767" s="54"/>
      <c r="L767" s="54"/>
      <c r="M767" s="54"/>
      <c r="N767" s="54"/>
    </row>
    <row r="768" ht="14.25" customHeight="1">
      <c r="A768" s="54"/>
      <c r="B768" s="54"/>
      <c r="C768" s="54"/>
      <c r="D768" s="54"/>
      <c r="E768" s="54"/>
      <c r="F768" s="54"/>
      <c r="G768" s="54"/>
      <c r="H768" s="54"/>
      <c r="I768" s="54"/>
      <c r="J768" s="54"/>
      <c r="K768" s="54"/>
      <c r="L768" s="54"/>
      <c r="M768" s="54"/>
      <c r="N768" s="54"/>
    </row>
    <row r="769" ht="14.25" customHeight="1">
      <c r="A769" s="54"/>
      <c r="B769" s="54"/>
      <c r="C769" s="54"/>
      <c r="D769" s="54"/>
      <c r="E769" s="54"/>
      <c r="F769" s="54"/>
      <c r="G769" s="54"/>
      <c r="H769" s="54"/>
      <c r="I769" s="54"/>
      <c r="J769" s="54"/>
      <c r="K769" s="54"/>
      <c r="L769" s="54"/>
      <c r="M769" s="54"/>
      <c r="N769" s="54"/>
    </row>
    <row r="770" ht="14.25" customHeight="1">
      <c r="A770" s="54"/>
      <c r="B770" s="54"/>
      <c r="C770" s="54"/>
      <c r="D770" s="54"/>
      <c r="E770" s="54"/>
      <c r="F770" s="54"/>
      <c r="G770" s="54"/>
      <c r="H770" s="54"/>
      <c r="I770" s="54"/>
      <c r="J770" s="54"/>
      <c r="K770" s="54"/>
      <c r="L770" s="54"/>
      <c r="M770" s="54"/>
      <c r="N770" s="54"/>
    </row>
    <row r="771" ht="14.25" customHeight="1">
      <c r="A771" s="54"/>
      <c r="B771" s="54"/>
      <c r="C771" s="54"/>
      <c r="D771" s="54"/>
      <c r="E771" s="54"/>
      <c r="F771" s="54"/>
      <c r="G771" s="54"/>
      <c r="H771" s="54"/>
      <c r="I771" s="54"/>
      <c r="J771" s="54"/>
      <c r="K771" s="54"/>
      <c r="L771" s="54"/>
      <c r="M771" s="54"/>
      <c r="N771" s="54"/>
    </row>
    <row r="772" ht="14.25" customHeight="1">
      <c r="A772" s="54"/>
      <c r="B772" s="54"/>
      <c r="C772" s="54"/>
      <c r="D772" s="54"/>
      <c r="E772" s="54"/>
      <c r="F772" s="54"/>
      <c r="G772" s="54"/>
      <c r="H772" s="54"/>
      <c r="I772" s="54"/>
      <c r="J772" s="54"/>
      <c r="K772" s="54"/>
      <c r="L772" s="54"/>
      <c r="M772" s="54"/>
      <c r="N772" s="54"/>
    </row>
    <row r="773" ht="14.25" customHeight="1">
      <c r="A773" s="54"/>
      <c r="B773" s="54"/>
      <c r="C773" s="54"/>
      <c r="D773" s="54"/>
      <c r="E773" s="54"/>
      <c r="F773" s="54"/>
      <c r="G773" s="54"/>
      <c r="H773" s="54"/>
      <c r="I773" s="54"/>
      <c r="J773" s="54"/>
      <c r="K773" s="54"/>
      <c r="L773" s="54"/>
      <c r="M773" s="54"/>
      <c r="N773" s="54"/>
    </row>
    <row r="774" ht="14.25" customHeight="1">
      <c r="A774" s="54"/>
      <c r="B774" s="54"/>
      <c r="C774" s="54"/>
      <c r="D774" s="54"/>
      <c r="E774" s="54"/>
      <c r="F774" s="54"/>
      <c r="G774" s="54"/>
      <c r="H774" s="54"/>
      <c r="I774" s="54"/>
      <c r="J774" s="54"/>
      <c r="K774" s="54"/>
      <c r="L774" s="54"/>
      <c r="M774" s="54"/>
      <c r="N774" s="54"/>
    </row>
    <row r="775" ht="14.25" customHeight="1">
      <c r="A775" s="54"/>
      <c r="B775" s="54"/>
      <c r="C775" s="54"/>
      <c r="D775" s="54"/>
      <c r="E775" s="54"/>
      <c r="F775" s="54"/>
      <c r="G775" s="54"/>
      <c r="H775" s="54"/>
      <c r="I775" s="54"/>
      <c r="J775" s="54"/>
      <c r="K775" s="54"/>
      <c r="L775" s="54"/>
      <c r="M775" s="54"/>
      <c r="N775" s="54"/>
    </row>
    <row r="776" ht="14.25" customHeight="1">
      <c r="A776" s="54"/>
      <c r="B776" s="54"/>
      <c r="C776" s="54"/>
      <c r="D776" s="54"/>
      <c r="E776" s="54"/>
      <c r="F776" s="54"/>
      <c r="G776" s="54"/>
      <c r="H776" s="54"/>
      <c r="I776" s="54"/>
      <c r="J776" s="54"/>
      <c r="K776" s="54"/>
      <c r="L776" s="54"/>
      <c r="M776" s="54"/>
      <c r="N776" s="54"/>
    </row>
    <row r="777" ht="14.25" customHeight="1">
      <c r="A777" s="54"/>
      <c r="B777" s="54"/>
      <c r="C777" s="54"/>
      <c r="D777" s="54"/>
      <c r="E777" s="54"/>
      <c r="F777" s="54"/>
      <c r="G777" s="54"/>
      <c r="H777" s="54"/>
      <c r="I777" s="54"/>
      <c r="J777" s="54"/>
      <c r="K777" s="54"/>
      <c r="L777" s="54"/>
      <c r="M777" s="54"/>
      <c r="N777" s="54"/>
    </row>
    <row r="778" ht="14.25" customHeight="1">
      <c r="A778" s="54"/>
      <c r="B778" s="54"/>
      <c r="C778" s="54"/>
      <c r="D778" s="54"/>
      <c r="E778" s="54"/>
      <c r="F778" s="54"/>
      <c r="G778" s="54"/>
      <c r="H778" s="54"/>
      <c r="I778" s="54"/>
      <c r="J778" s="54"/>
      <c r="K778" s="54"/>
      <c r="L778" s="54"/>
      <c r="M778" s="54"/>
      <c r="N778" s="54"/>
    </row>
    <row r="779" ht="14.25" customHeight="1">
      <c r="A779" s="54"/>
      <c r="B779" s="54"/>
      <c r="C779" s="54"/>
      <c r="D779" s="54"/>
      <c r="E779" s="54"/>
      <c r="F779" s="54"/>
      <c r="G779" s="54"/>
      <c r="H779" s="54"/>
      <c r="I779" s="54"/>
      <c r="J779" s="54"/>
      <c r="K779" s="54"/>
      <c r="L779" s="54"/>
      <c r="M779" s="54"/>
      <c r="N779" s="54"/>
    </row>
    <row r="780" ht="14.25" customHeight="1">
      <c r="A780" s="54"/>
      <c r="B780" s="54"/>
      <c r="C780" s="54"/>
      <c r="D780" s="54"/>
      <c r="E780" s="54"/>
      <c r="F780" s="54"/>
      <c r="G780" s="54"/>
      <c r="H780" s="54"/>
      <c r="I780" s="54"/>
      <c r="J780" s="54"/>
      <c r="K780" s="54"/>
      <c r="L780" s="54"/>
      <c r="M780" s="54"/>
      <c r="N780" s="54"/>
    </row>
    <row r="781" ht="14.25" customHeight="1">
      <c r="A781" s="54"/>
      <c r="B781" s="54"/>
      <c r="C781" s="54"/>
      <c r="D781" s="54"/>
      <c r="E781" s="54"/>
      <c r="F781" s="54"/>
      <c r="G781" s="54"/>
      <c r="H781" s="54"/>
      <c r="I781" s="54"/>
      <c r="J781" s="54"/>
      <c r="K781" s="54"/>
      <c r="L781" s="54"/>
      <c r="M781" s="54"/>
      <c r="N781" s="54"/>
    </row>
    <row r="782" ht="14.25" customHeight="1">
      <c r="A782" s="54"/>
      <c r="B782" s="54"/>
      <c r="C782" s="54"/>
      <c r="D782" s="54"/>
      <c r="E782" s="54"/>
      <c r="F782" s="54"/>
      <c r="G782" s="54"/>
      <c r="H782" s="54"/>
      <c r="I782" s="54"/>
      <c r="J782" s="54"/>
      <c r="K782" s="54"/>
      <c r="L782" s="54"/>
      <c r="M782" s="54"/>
      <c r="N782" s="54"/>
    </row>
    <row r="783" ht="14.25" customHeight="1">
      <c r="A783" s="54"/>
      <c r="B783" s="54"/>
      <c r="C783" s="54"/>
      <c r="D783" s="54"/>
      <c r="E783" s="54"/>
      <c r="F783" s="54"/>
      <c r="G783" s="54"/>
      <c r="H783" s="54"/>
      <c r="I783" s="54"/>
      <c r="J783" s="54"/>
      <c r="K783" s="54"/>
      <c r="L783" s="54"/>
      <c r="M783" s="54"/>
      <c r="N783" s="54"/>
    </row>
    <row r="784" ht="14.25" customHeight="1">
      <c r="A784" s="54"/>
      <c r="B784" s="54"/>
      <c r="C784" s="54"/>
      <c r="D784" s="54"/>
      <c r="E784" s="54"/>
      <c r="F784" s="54"/>
      <c r="G784" s="54"/>
      <c r="H784" s="54"/>
      <c r="I784" s="54"/>
      <c r="J784" s="54"/>
      <c r="K784" s="54"/>
      <c r="L784" s="54"/>
      <c r="M784" s="54"/>
      <c r="N784" s="54"/>
    </row>
    <row r="785" ht="14.25" customHeight="1">
      <c r="A785" s="54"/>
      <c r="B785" s="54"/>
      <c r="C785" s="54"/>
      <c r="D785" s="54"/>
      <c r="E785" s="54"/>
      <c r="F785" s="54"/>
      <c r="G785" s="54"/>
      <c r="H785" s="54"/>
      <c r="I785" s="54"/>
      <c r="J785" s="54"/>
      <c r="K785" s="54"/>
      <c r="L785" s="54"/>
      <c r="M785" s="54"/>
      <c r="N785" s="54"/>
    </row>
    <row r="786" ht="14.25" customHeight="1">
      <c r="A786" s="54"/>
      <c r="B786" s="54"/>
      <c r="C786" s="54"/>
      <c r="D786" s="54"/>
      <c r="E786" s="54"/>
      <c r="F786" s="54"/>
      <c r="G786" s="54"/>
      <c r="H786" s="54"/>
      <c r="I786" s="54"/>
      <c r="J786" s="54"/>
      <c r="K786" s="54"/>
      <c r="L786" s="54"/>
      <c r="M786" s="54"/>
      <c r="N786" s="54"/>
    </row>
    <row r="787" ht="14.25" customHeight="1">
      <c r="A787" s="54"/>
      <c r="B787" s="54"/>
      <c r="C787" s="54"/>
      <c r="D787" s="54"/>
      <c r="E787" s="54"/>
      <c r="F787" s="54"/>
      <c r="G787" s="54"/>
      <c r="H787" s="54"/>
      <c r="I787" s="54"/>
      <c r="J787" s="54"/>
      <c r="K787" s="54"/>
      <c r="L787" s="54"/>
      <c r="M787" s="54"/>
      <c r="N787" s="54"/>
    </row>
    <row r="788" ht="14.25" customHeight="1">
      <c r="A788" s="54"/>
      <c r="B788" s="54"/>
      <c r="C788" s="54"/>
      <c r="D788" s="54"/>
      <c r="E788" s="54"/>
      <c r="F788" s="54"/>
      <c r="G788" s="54"/>
      <c r="H788" s="54"/>
      <c r="I788" s="54"/>
      <c r="J788" s="54"/>
      <c r="K788" s="54"/>
      <c r="L788" s="54"/>
      <c r="M788" s="54"/>
      <c r="N788" s="54"/>
    </row>
    <row r="789" ht="14.25" customHeight="1">
      <c r="A789" s="54"/>
      <c r="B789" s="54"/>
      <c r="C789" s="54"/>
      <c r="D789" s="54"/>
      <c r="E789" s="54"/>
      <c r="F789" s="54"/>
      <c r="G789" s="54"/>
      <c r="H789" s="54"/>
      <c r="I789" s="54"/>
      <c r="J789" s="54"/>
      <c r="K789" s="54"/>
      <c r="L789" s="54"/>
      <c r="M789" s="54"/>
      <c r="N789" s="54"/>
    </row>
    <row r="790" ht="14.25" customHeight="1">
      <c r="A790" s="54"/>
      <c r="B790" s="54"/>
      <c r="C790" s="54"/>
      <c r="D790" s="54"/>
      <c r="E790" s="54"/>
      <c r="F790" s="54"/>
      <c r="G790" s="54"/>
      <c r="H790" s="54"/>
      <c r="I790" s="54"/>
      <c r="J790" s="54"/>
      <c r="K790" s="54"/>
      <c r="L790" s="54"/>
      <c r="M790" s="54"/>
      <c r="N790" s="54"/>
    </row>
    <row r="791" ht="14.25" customHeight="1">
      <c r="A791" s="54"/>
      <c r="B791" s="54"/>
      <c r="C791" s="54"/>
      <c r="D791" s="54"/>
      <c r="E791" s="54"/>
      <c r="F791" s="54"/>
      <c r="G791" s="54"/>
      <c r="H791" s="54"/>
      <c r="I791" s="54"/>
      <c r="J791" s="54"/>
      <c r="K791" s="54"/>
      <c r="L791" s="54"/>
      <c r="M791" s="54"/>
      <c r="N791" s="54"/>
    </row>
    <row r="792" ht="14.25" customHeight="1">
      <c r="A792" s="54"/>
      <c r="B792" s="54"/>
      <c r="C792" s="54"/>
      <c r="D792" s="54"/>
      <c r="E792" s="54"/>
      <c r="F792" s="54"/>
      <c r="G792" s="54"/>
      <c r="H792" s="54"/>
      <c r="I792" s="54"/>
      <c r="J792" s="54"/>
      <c r="K792" s="54"/>
      <c r="L792" s="54"/>
      <c r="M792" s="54"/>
      <c r="N792" s="54"/>
    </row>
    <row r="793" ht="14.25" customHeight="1">
      <c r="A793" s="54"/>
      <c r="B793" s="54"/>
      <c r="C793" s="54"/>
      <c r="D793" s="54"/>
      <c r="E793" s="54"/>
      <c r="F793" s="54"/>
      <c r="G793" s="54"/>
      <c r="H793" s="54"/>
      <c r="I793" s="54"/>
      <c r="J793" s="54"/>
      <c r="K793" s="54"/>
      <c r="L793" s="54"/>
      <c r="M793" s="54"/>
      <c r="N793" s="54"/>
    </row>
    <row r="794" ht="14.25" customHeight="1">
      <c r="A794" s="54"/>
      <c r="B794" s="54"/>
      <c r="C794" s="54"/>
      <c r="D794" s="54"/>
      <c r="E794" s="54"/>
      <c r="F794" s="54"/>
      <c r="G794" s="54"/>
      <c r="H794" s="54"/>
      <c r="I794" s="54"/>
      <c r="J794" s="54"/>
      <c r="K794" s="54"/>
      <c r="L794" s="54"/>
      <c r="M794" s="54"/>
      <c r="N794" s="54"/>
    </row>
    <row r="795" ht="14.25" customHeight="1">
      <c r="A795" s="54"/>
      <c r="B795" s="54"/>
      <c r="C795" s="54"/>
      <c r="D795" s="54"/>
      <c r="E795" s="54"/>
      <c r="F795" s="54"/>
      <c r="G795" s="54"/>
      <c r="H795" s="54"/>
      <c r="I795" s="54"/>
      <c r="J795" s="54"/>
      <c r="K795" s="54"/>
      <c r="L795" s="54"/>
      <c r="M795" s="54"/>
      <c r="N795" s="54"/>
    </row>
    <row r="796" ht="14.25" customHeight="1">
      <c r="A796" s="54"/>
      <c r="B796" s="54"/>
      <c r="C796" s="54"/>
      <c r="D796" s="54"/>
      <c r="E796" s="54"/>
      <c r="F796" s="54"/>
      <c r="G796" s="54"/>
      <c r="H796" s="54"/>
      <c r="I796" s="54"/>
      <c r="J796" s="54"/>
      <c r="K796" s="54"/>
      <c r="L796" s="54"/>
      <c r="M796" s="54"/>
      <c r="N796" s="54"/>
    </row>
    <row r="797" ht="14.25" customHeight="1">
      <c r="A797" s="54"/>
      <c r="B797" s="54"/>
      <c r="C797" s="54"/>
      <c r="D797" s="54"/>
      <c r="E797" s="54"/>
      <c r="F797" s="54"/>
      <c r="G797" s="54"/>
      <c r="H797" s="54"/>
      <c r="I797" s="54"/>
      <c r="J797" s="54"/>
      <c r="K797" s="54"/>
      <c r="L797" s="54"/>
      <c r="M797" s="54"/>
      <c r="N797" s="54"/>
    </row>
    <row r="798" ht="14.25" customHeight="1">
      <c r="A798" s="54"/>
      <c r="B798" s="54"/>
      <c r="C798" s="54"/>
      <c r="D798" s="54"/>
      <c r="E798" s="54"/>
      <c r="F798" s="54"/>
      <c r="G798" s="54"/>
      <c r="H798" s="54"/>
      <c r="I798" s="54"/>
      <c r="J798" s="54"/>
      <c r="K798" s="54"/>
      <c r="L798" s="54"/>
      <c r="M798" s="54"/>
      <c r="N798" s="54"/>
    </row>
    <row r="799" ht="14.25" customHeight="1">
      <c r="A799" s="54"/>
      <c r="B799" s="54"/>
      <c r="C799" s="54"/>
      <c r="D799" s="54"/>
      <c r="E799" s="54"/>
      <c r="F799" s="54"/>
      <c r="G799" s="54"/>
      <c r="H799" s="54"/>
      <c r="I799" s="54"/>
      <c r="J799" s="54"/>
      <c r="K799" s="54"/>
      <c r="L799" s="54"/>
      <c r="M799" s="54"/>
      <c r="N799" s="54"/>
    </row>
    <row r="800" ht="14.25" customHeight="1">
      <c r="A800" s="54"/>
      <c r="B800" s="54"/>
      <c r="C800" s="54"/>
      <c r="D800" s="54"/>
      <c r="E800" s="54"/>
      <c r="F800" s="54"/>
      <c r="G800" s="54"/>
      <c r="H800" s="54"/>
      <c r="I800" s="54"/>
      <c r="J800" s="54"/>
      <c r="K800" s="54"/>
      <c r="L800" s="54"/>
      <c r="M800" s="54"/>
      <c r="N800" s="54"/>
    </row>
    <row r="801" ht="14.25" customHeight="1">
      <c r="A801" s="54"/>
      <c r="B801" s="54"/>
      <c r="C801" s="54"/>
      <c r="D801" s="54"/>
      <c r="E801" s="54"/>
      <c r="F801" s="54"/>
      <c r="G801" s="54"/>
      <c r="H801" s="54"/>
      <c r="I801" s="54"/>
      <c r="J801" s="54"/>
      <c r="K801" s="54"/>
      <c r="L801" s="54"/>
      <c r="M801" s="54"/>
      <c r="N801" s="54"/>
    </row>
    <row r="802" ht="14.25" customHeight="1">
      <c r="A802" s="54"/>
      <c r="B802" s="54"/>
      <c r="C802" s="54"/>
      <c r="D802" s="54"/>
      <c r="E802" s="54"/>
      <c r="F802" s="54"/>
      <c r="G802" s="54"/>
      <c r="H802" s="54"/>
      <c r="I802" s="54"/>
      <c r="J802" s="54"/>
      <c r="K802" s="54"/>
      <c r="L802" s="54"/>
      <c r="M802" s="54"/>
      <c r="N802" s="54"/>
    </row>
    <row r="803" ht="14.25" customHeight="1">
      <c r="A803" s="54"/>
      <c r="B803" s="54"/>
      <c r="C803" s="54"/>
      <c r="D803" s="54"/>
      <c r="E803" s="54"/>
      <c r="F803" s="54"/>
      <c r="G803" s="54"/>
      <c r="H803" s="54"/>
      <c r="I803" s="54"/>
      <c r="J803" s="54"/>
      <c r="K803" s="54"/>
      <c r="L803" s="54"/>
      <c r="M803" s="54"/>
      <c r="N803" s="54"/>
    </row>
    <row r="804" ht="14.25" customHeight="1">
      <c r="A804" s="54"/>
      <c r="B804" s="54"/>
      <c r="C804" s="54"/>
      <c r="D804" s="54"/>
      <c r="E804" s="54"/>
      <c r="F804" s="54"/>
      <c r="G804" s="54"/>
      <c r="H804" s="54"/>
      <c r="I804" s="54"/>
      <c r="J804" s="54"/>
      <c r="K804" s="54"/>
      <c r="L804" s="54"/>
      <c r="M804" s="54"/>
      <c r="N804" s="54"/>
    </row>
    <row r="805" ht="14.25" customHeight="1">
      <c r="A805" s="54"/>
      <c r="B805" s="54"/>
      <c r="C805" s="54"/>
      <c r="D805" s="54"/>
      <c r="E805" s="54"/>
      <c r="F805" s="54"/>
      <c r="G805" s="54"/>
      <c r="H805" s="54"/>
      <c r="I805" s="54"/>
      <c r="J805" s="54"/>
      <c r="K805" s="54"/>
      <c r="L805" s="54"/>
      <c r="M805" s="54"/>
      <c r="N805" s="54"/>
    </row>
    <row r="806" ht="14.25" customHeight="1">
      <c r="A806" s="54"/>
      <c r="B806" s="54"/>
      <c r="C806" s="54"/>
      <c r="D806" s="54"/>
      <c r="E806" s="54"/>
      <c r="F806" s="54"/>
      <c r="G806" s="54"/>
      <c r="H806" s="54"/>
      <c r="I806" s="54"/>
      <c r="J806" s="54"/>
      <c r="K806" s="54"/>
      <c r="L806" s="54"/>
      <c r="M806" s="54"/>
      <c r="N806" s="54"/>
    </row>
    <row r="807" ht="14.25" customHeight="1">
      <c r="A807" s="54"/>
      <c r="B807" s="54"/>
      <c r="C807" s="54"/>
      <c r="D807" s="54"/>
      <c r="E807" s="54"/>
      <c r="F807" s="54"/>
      <c r="G807" s="54"/>
      <c r="H807" s="54"/>
      <c r="I807" s="54"/>
      <c r="J807" s="54"/>
      <c r="K807" s="54"/>
      <c r="L807" s="54"/>
      <c r="M807" s="54"/>
      <c r="N807" s="54"/>
    </row>
    <row r="808" ht="14.25" customHeight="1">
      <c r="A808" s="54"/>
      <c r="B808" s="54"/>
      <c r="C808" s="54"/>
      <c r="D808" s="54"/>
      <c r="E808" s="54"/>
      <c r="F808" s="54"/>
      <c r="G808" s="54"/>
      <c r="H808" s="54"/>
      <c r="I808" s="54"/>
      <c r="J808" s="54"/>
      <c r="K808" s="54"/>
      <c r="L808" s="54"/>
      <c r="M808" s="54"/>
      <c r="N808" s="54"/>
    </row>
    <row r="809" ht="14.25" customHeight="1">
      <c r="A809" s="54"/>
      <c r="B809" s="54"/>
      <c r="C809" s="54"/>
      <c r="D809" s="54"/>
      <c r="E809" s="54"/>
      <c r="F809" s="54"/>
      <c r="G809" s="54"/>
      <c r="H809" s="54"/>
      <c r="I809" s="54"/>
      <c r="J809" s="54"/>
      <c r="K809" s="54"/>
      <c r="L809" s="54"/>
      <c r="M809" s="54"/>
      <c r="N809" s="54"/>
    </row>
    <row r="810" ht="14.25" customHeight="1">
      <c r="A810" s="54"/>
      <c r="B810" s="54"/>
      <c r="C810" s="54"/>
      <c r="D810" s="54"/>
      <c r="E810" s="54"/>
      <c r="F810" s="54"/>
      <c r="G810" s="54"/>
      <c r="H810" s="54"/>
      <c r="I810" s="54"/>
      <c r="J810" s="54"/>
      <c r="K810" s="54"/>
      <c r="L810" s="54"/>
      <c r="M810" s="54"/>
      <c r="N810" s="54"/>
    </row>
    <row r="811" ht="14.25" customHeight="1">
      <c r="A811" s="54"/>
      <c r="B811" s="54"/>
      <c r="C811" s="54"/>
      <c r="D811" s="54"/>
      <c r="E811" s="54"/>
      <c r="F811" s="54"/>
      <c r="G811" s="54"/>
      <c r="H811" s="54"/>
      <c r="I811" s="54"/>
      <c r="J811" s="54"/>
      <c r="K811" s="54"/>
      <c r="L811" s="54"/>
      <c r="M811" s="54"/>
      <c r="N811" s="54"/>
    </row>
    <row r="812" ht="14.25" customHeight="1">
      <c r="A812" s="54"/>
      <c r="B812" s="54"/>
      <c r="C812" s="54"/>
      <c r="D812" s="54"/>
      <c r="E812" s="54"/>
      <c r="F812" s="54"/>
      <c r="G812" s="54"/>
      <c r="H812" s="54"/>
      <c r="I812" s="54"/>
      <c r="J812" s="54"/>
      <c r="K812" s="54"/>
      <c r="L812" s="54"/>
      <c r="M812" s="54"/>
      <c r="N812" s="54"/>
    </row>
    <row r="813" ht="14.25" customHeight="1">
      <c r="A813" s="54"/>
      <c r="B813" s="54"/>
      <c r="C813" s="54"/>
      <c r="D813" s="54"/>
      <c r="E813" s="54"/>
      <c r="F813" s="54"/>
      <c r="G813" s="54"/>
      <c r="H813" s="54"/>
      <c r="I813" s="54"/>
      <c r="J813" s="54"/>
      <c r="K813" s="54"/>
      <c r="L813" s="54"/>
      <c r="M813" s="54"/>
      <c r="N813" s="54"/>
    </row>
    <row r="814" ht="14.25" customHeight="1">
      <c r="A814" s="54"/>
      <c r="B814" s="54"/>
      <c r="C814" s="54"/>
      <c r="D814" s="54"/>
      <c r="E814" s="54"/>
      <c r="F814" s="54"/>
      <c r="G814" s="54"/>
      <c r="H814" s="54"/>
      <c r="I814" s="54"/>
      <c r="J814" s="54"/>
      <c r="K814" s="54"/>
      <c r="L814" s="54"/>
      <c r="M814" s="54"/>
      <c r="N814" s="54"/>
    </row>
    <row r="815" ht="14.25" customHeight="1">
      <c r="A815" s="54"/>
      <c r="B815" s="54"/>
      <c r="C815" s="54"/>
      <c r="D815" s="54"/>
      <c r="E815" s="54"/>
      <c r="F815" s="54"/>
      <c r="G815" s="54"/>
      <c r="H815" s="54"/>
      <c r="I815" s="54"/>
      <c r="J815" s="54"/>
      <c r="K815" s="54"/>
      <c r="L815" s="54"/>
      <c r="M815" s="54"/>
      <c r="N815" s="54"/>
    </row>
    <row r="816" ht="14.25" customHeight="1">
      <c r="A816" s="54"/>
      <c r="B816" s="54"/>
      <c r="C816" s="54"/>
      <c r="D816" s="54"/>
      <c r="E816" s="54"/>
      <c r="F816" s="54"/>
      <c r="G816" s="54"/>
      <c r="H816" s="54"/>
      <c r="I816" s="54"/>
      <c r="J816" s="54"/>
      <c r="K816" s="54"/>
      <c r="L816" s="54"/>
      <c r="M816" s="54"/>
      <c r="N816" s="54"/>
    </row>
    <row r="817" ht="14.25" customHeight="1">
      <c r="A817" s="54"/>
      <c r="B817" s="54"/>
      <c r="C817" s="54"/>
      <c r="D817" s="54"/>
      <c r="E817" s="54"/>
      <c r="F817" s="54"/>
      <c r="G817" s="54"/>
      <c r="H817" s="54"/>
      <c r="I817" s="54"/>
      <c r="J817" s="54"/>
      <c r="K817" s="54"/>
      <c r="L817" s="54"/>
      <c r="M817" s="54"/>
      <c r="N817" s="54"/>
    </row>
    <row r="818" ht="14.25" customHeight="1">
      <c r="A818" s="54"/>
      <c r="B818" s="54"/>
      <c r="C818" s="54"/>
      <c r="D818" s="54"/>
      <c r="E818" s="54"/>
      <c r="F818" s="54"/>
      <c r="G818" s="54"/>
      <c r="H818" s="54"/>
      <c r="I818" s="54"/>
      <c r="J818" s="54"/>
      <c r="K818" s="54"/>
      <c r="L818" s="54"/>
      <c r="M818" s="54"/>
      <c r="N818" s="54"/>
    </row>
    <row r="819" ht="14.25" customHeight="1">
      <c r="A819" s="54"/>
      <c r="B819" s="54"/>
      <c r="C819" s="54"/>
      <c r="D819" s="54"/>
      <c r="E819" s="54"/>
      <c r="F819" s="54"/>
      <c r="G819" s="54"/>
      <c r="H819" s="54"/>
      <c r="I819" s="54"/>
      <c r="J819" s="54"/>
      <c r="K819" s="54"/>
      <c r="L819" s="54"/>
      <c r="M819" s="54"/>
      <c r="N819" s="54"/>
    </row>
    <row r="820" ht="14.25" customHeight="1">
      <c r="A820" s="54"/>
      <c r="B820" s="54"/>
      <c r="C820" s="54"/>
      <c r="D820" s="54"/>
      <c r="E820" s="54"/>
      <c r="F820" s="54"/>
      <c r="G820" s="54"/>
      <c r="H820" s="54"/>
      <c r="I820" s="54"/>
      <c r="J820" s="54"/>
      <c r="K820" s="54"/>
      <c r="L820" s="54"/>
      <c r="M820" s="54"/>
      <c r="N820" s="54"/>
    </row>
    <row r="821" ht="14.25" customHeight="1">
      <c r="A821" s="54"/>
      <c r="B821" s="54"/>
      <c r="C821" s="54"/>
      <c r="D821" s="54"/>
      <c r="E821" s="54"/>
      <c r="F821" s="54"/>
      <c r="G821" s="54"/>
      <c r="H821" s="54"/>
      <c r="I821" s="54"/>
      <c r="J821" s="54"/>
      <c r="K821" s="54"/>
      <c r="L821" s="54"/>
      <c r="M821" s="54"/>
      <c r="N821" s="54"/>
    </row>
    <row r="822" ht="14.25" customHeight="1">
      <c r="A822" s="54"/>
      <c r="B822" s="54"/>
      <c r="C822" s="54"/>
      <c r="D822" s="54"/>
      <c r="E822" s="54"/>
      <c r="F822" s="54"/>
      <c r="G822" s="54"/>
      <c r="H822" s="54"/>
      <c r="I822" s="54"/>
      <c r="J822" s="54"/>
      <c r="K822" s="54"/>
      <c r="L822" s="54"/>
      <c r="M822" s="54"/>
      <c r="N822" s="54"/>
    </row>
    <row r="823" ht="14.25" customHeight="1">
      <c r="A823" s="54"/>
      <c r="B823" s="54"/>
      <c r="C823" s="54"/>
      <c r="D823" s="54"/>
      <c r="E823" s="54"/>
      <c r="F823" s="54"/>
      <c r="G823" s="54"/>
      <c r="H823" s="54"/>
      <c r="I823" s="54"/>
      <c r="J823" s="54"/>
      <c r="K823" s="54"/>
      <c r="L823" s="54"/>
      <c r="M823" s="54"/>
      <c r="N823" s="54"/>
    </row>
    <row r="824" ht="14.25" customHeight="1">
      <c r="A824" s="54"/>
      <c r="B824" s="54"/>
      <c r="C824" s="54"/>
      <c r="D824" s="54"/>
      <c r="E824" s="54"/>
      <c r="F824" s="54"/>
      <c r="G824" s="54"/>
      <c r="H824" s="54"/>
      <c r="I824" s="54"/>
      <c r="J824" s="54"/>
      <c r="K824" s="54"/>
      <c r="L824" s="54"/>
      <c r="M824" s="54"/>
      <c r="N824" s="54"/>
    </row>
    <row r="825" ht="14.25" customHeight="1">
      <c r="A825" s="54"/>
      <c r="B825" s="54"/>
      <c r="C825" s="54"/>
      <c r="D825" s="54"/>
      <c r="E825" s="54"/>
      <c r="F825" s="54"/>
      <c r="G825" s="54"/>
      <c r="H825" s="54"/>
      <c r="I825" s="54"/>
      <c r="J825" s="54"/>
      <c r="K825" s="54"/>
      <c r="L825" s="54"/>
      <c r="M825" s="54"/>
      <c r="N825" s="54"/>
    </row>
    <row r="826" ht="14.25" customHeight="1">
      <c r="A826" s="54"/>
      <c r="B826" s="54"/>
      <c r="C826" s="54"/>
      <c r="D826" s="54"/>
      <c r="E826" s="54"/>
      <c r="F826" s="54"/>
      <c r="G826" s="54"/>
      <c r="H826" s="54"/>
      <c r="I826" s="54"/>
      <c r="J826" s="54"/>
      <c r="K826" s="54"/>
      <c r="L826" s="54"/>
      <c r="M826" s="54"/>
      <c r="N826" s="54"/>
    </row>
    <row r="827" ht="14.25" customHeight="1">
      <c r="A827" s="54"/>
      <c r="B827" s="54"/>
      <c r="C827" s="54"/>
      <c r="D827" s="54"/>
      <c r="E827" s="54"/>
      <c r="F827" s="54"/>
      <c r="G827" s="54"/>
      <c r="H827" s="54"/>
      <c r="I827" s="54"/>
      <c r="J827" s="54"/>
      <c r="K827" s="54"/>
      <c r="L827" s="54"/>
      <c r="M827" s="54"/>
      <c r="N827" s="54"/>
    </row>
    <row r="828" ht="14.25" customHeight="1">
      <c r="A828" s="54"/>
      <c r="B828" s="54"/>
      <c r="C828" s="54"/>
      <c r="D828" s="54"/>
      <c r="E828" s="54"/>
      <c r="F828" s="54"/>
      <c r="G828" s="54"/>
      <c r="H828" s="54"/>
      <c r="I828" s="54"/>
      <c r="J828" s="54"/>
      <c r="K828" s="54"/>
      <c r="L828" s="54"/>
      <c r="M828" s="54"/>
      <c r="N828" s="54"/>
    </row>
    <row r="829" ht="14.25" customHeight="1">
      <c r="A829" s="54"/>
      <c r="B829" s="54"/>
      <c r="C829" s="54"/>
      <c r="D829" s="54"/>
      <c r="E829" s="54"/>
      <c r="F829" s="54"/>
      <c r="G829" s="54"/>
      <c r="H829" s="54"/>
      <c r="I829" s="54"/>
      <c r="J829" s="54"/>
      <c r="K829" s="54"/>
      <c r="L829" s="54"/>
      <c r="M829" s="54"/>
      <c r="N829" s="54"/>
    </row>
    <row r="830" ht="14.25" customHeight="1">
      <c r="A830" s="54"/>
      <c r="B830" s="54"/>
      <c r="C830" s="54"/>
      <c r="D830" s="54"/>
      <c r="E830" s="54"/>
      <c r="F830" s="54"/>
      <c r="G830" s="54"/>
      <c r="H830" s="54"/>
      <c r="I830" s="54"/>
      <c r="J830" s="54"/>
      <c r="K830" s="54"/>
      <c r="L830" s="54"/>
      <c r="M830" s="54"/>
      <c r="N830" s="54"/>
    </row>
    <row r="831" ht="14.25" customHeight="1">
      <c r="A831" s="54"/>
      <c r="B831" s="54"/>
      <c r="C831" s="54"/>
      <c r="D831" s="54"/>
      <c r="E831" s="54"/>
      <c r="F831" s="54"/>
      <c r="G831" s="54"/>
      <c r="H831" s="54"/>
      <c r="I831" s="54"/>
      <c r="J831" s="54"/>
      <c r="K831" s="54"/>
      <c r="L831" s="54"/>
      <c r="M831" s="54"/>
      <c r="N831" s="54"/>
    </row>
    <row r="832" ht="14.25" customHeight="1">
      <c r="A832" s="54"/>
      <c r="B832" s="54"/>
      <c r="C832" s="54"/>
      <c r="D832" s="54"/>
      <c r="E832" s="54"/>
      <c r="F832" s="54"/>
      <c r="G832" s="54"/>
      <c r="H832" s="54"/>
      <c r="I832" s="54"/>
      <c r="J832" s="54"/>
      <c r="K832" s="54"/>
      <c r="L832" s="54"/>
      <c r="M832" s="54"/>
      <c r="N832" s="54"/>
    </row>
    <row r="833" ht="14.25" customHeight="1">
      <c r="A833" s="54"/>
      <c r="B833" s="54"/>
      <c r="C833" s="54"/>
      <c r="D833" s="54"/>
      <c r="E833" s="54"/>
      <c r="F833" s="54"/>
      <c r="G833" s="54"/>
      <c r="H833" s="54"/>
      <c r="I833" s="54"/>
      <c r="J833" s="54"/>
      <c r="K833" s="54"/>
      <c r="L833" s="54"/>
      <c r="M833" s="54"/>
      <c r="N833" s="54"/>
    </row>
    <row r="834" ht="14.25" customHeight="1">
      <c r="A834" s="54"/>
      <c r="B834" s="54"/>
      <c r="C834" s="54"/>
      <c r="D834" s="54"/>
      <c r="E834" s="54"/>
      <c r="F834" s="54"/>
      <c r="G834" s="54"/>
      <c r="H834" s="54"/>
      <c r="I834" s="54"/>
      <c r="J834" s="54"/>
      <c r="K834" s="54"/>
      <c r="L834" s="54"/>
      <c r="M834" s="54"/>
      <c r="N834" s="54"/>
    </row>
    <row r="835" ht="14.25" customHeight="1">
      <c r="A835" s="54"/>
      <c r="B835" s="54"/>
      <c r="C835" s="54"/>
      <c r="D835" s="54"/>
      <c r="E835" s="54"/>
      <c r="F835" s="54"/>
      <c r="G835" s="54"/>
      <c r="H835" s="54"/>
      <c r="I835" s="54"/>
      <c r="J835" s="54"/>
      <c r="K835" s="54"/>
      <c r="L835" s="54"/>
      <c r="M835" s="54"/>
      <c r="N835" s="54"/>
    </row>
    <row r="836" ht="14.25" customHeight="1">
      <c r="A836" s="54"/>
      <c r="B836" s="54"/>
      <c r="C836" s="54"/>
      <c r="D836" s="54"/>
      <c r="E836" s="54"/>
      <c r="F836" s="54"/>
      <c r="G836" s="54"/>
      <c r="H836" s="54"/>
      <c r="I836" s="54"/>
      <c r="J836" s="54"/>
      <c r="K836" s="54"/>
      <c r="L836" s="54"/>
      <c r="M836" s="54"/>
      <c r="N836" s="54"/>
    </row>
    <row r="837" ht="14.25" customHeight="1">
      <c r="A837" s="54"/>
      <c r="B837" s="54"/>
      <c r="C837" s="54"/>
      <c r="D837" s="54"/>
      <c r="E837" s="54"/>
      <c r="F837" s="54"/>
      <c r="G837" s="54"/>
      <c r="H837" s="54"/>
      <c r="I837" s="54"/>
      <c r="J837" s="54"/>
      <c r="K837" s="54"/>
      <c r="L837" s="54"/>
      <c r="M837" s="54"/>
      <c r="N837" s="54"/>
    </row>
    <row r="838" ht="14.25" customHeight="1">
      <c r="A838" s="54"/>
      <c r="B838" s="54"/>
      <c r="C838" s="54"/>
      <c r="D838" s="54"/>
      <c r="E838" s="54"/>
      <c r="F838" s="54"/>
      <c r="G838" s="54"/>
      <c r="H838" s="54"/>
      <c r="I838" s="54"/>
      <c r="J838" s="54"/>
      <c r="K838" s="54"/>
      <c r="L838" s="54"/>
      <c r="M838" s="54"/>
      <c r="N838" s="54"/>
    </row>
    <row r="839" ht="14.25" customHeight="1">
      <c r="A839" s="54"/>
      <c r="B839" s="54"/>
      <c r="C839" s="54"/>
      <c r="D839" s="54"/>
      <c r="E839" s="54"/>
      <c r="F839" s="54"/>
      <c r="G839" s="54"/>
      <c r="H839" s="54"/>
      <c r="I839" s="54"/>
      <c r="J839" s="54"/>
      <c r="K839" s="54"/>
      <c r="L839" s="54"/>
      <c r="M839" s="54"/>
      <c r="N839" s="54"/>
    </row>
    <row r="840" ht="14.25" customHeight="1">
      <c r="A840" s="54"/>
      <c r="B840" s="54"/>
      <c r="C840" s="54"/>
      <c r="D840" s="54"/>
      <c r="E840" s="54"/>
      <c r="F840" s="54"/>
      <c r="G840" s="54"/>
      <c r="H840" s="54"/>
      <c r="I840" s="54"/>
      <c r="J840" s="54"/>
      <c r="K840" s="54"/>
      <c r="L840" s="54"/>
      <c r="M840" s="54"/>
      <c r="N840" s="54"/>
    </row>
    <row r="841" ht="14.25" customHeight="1">
      <c r="A841" s="54"/>
      <c r="B841" s="54"/>
      <c r="C841" s="54"/>
      <c r="D841" s="54"/>
      <c r="E841" s="54"/>
      <c r="F841" s="54"/>
      <c r="G841" s="54"/>
      <c r="H841" s="54"/>
      <c r="I841" s="54"/>
      <c r="J841" s="54"/>
      <c r="K841" s="54"/>
      <c r="L841" s="54"/>
      <c r="M841" s="54"/>
      <c r="N841" s="54"/>
    </row>
    <row r="842" ht="14.25" customHeight="1">
      <c r="A842" s="54"/>
      <c r="B842" s="54"/>
      <c r="C842" s="54"/>
      <c r="D842" s="54"/>
      <c r="E842" s="54"/>
      <c r="F842" s="54"/>
      <c r="G842" s="54"/>
      <c r="H842" s="54"/>
      <c r="I842" s="54"/>
      <c r="J842" s="54"/>
      <c r="K842" s="54"/>
      <c r="L842" s="54"/>
      <c r="M842" s="54"/>
      <c r="N842" s="54"/>
    </row>
    <row r="843" ht="14.25" customHeight="1">
      <c r="A843" s="54"/>
      <c r="B843" s="54"/>
      <c r="C843" s="54"/>
      <c r="D843" s="54"/>
      <c r="E843" s="54"/>
      <c r="F843" s="54"/>
      <c r="G843" s="54"/>
      <c r="H843" s="54"/>
      <c r="I843" s="54"/>
      <c r="J843" s="54"/>
      <c r="K843" s="54"/>
      <c r="L843" s="54"/>
      <c r="M843" s="54"/>
      <c r="N843" s="54"/>
    </row>
    <row r="844" ht="14.25" customHeight="1">
      <c r="A844" s="54"/>
      <c r="B844" s="54"/>
      <c r="C844" s="54"/>
      <c r="D844" s="54"/>
      <c r="E844" s="54"/>
      <c r="F844" s="54"/>
      <c r="G844" s="54"/>
      <c r="H844" s="54"/>
      <c r="I844" s="54"/>
      <c r="J844" s="54"/>
      <c r="K844" s="54"/>
      <c r="L844" s="54"/>
      <c r="M844" s="54"/>
      <c r="N844" s="54"/>
    </row>
    <row r="845" ht="14.25" customHeight="1">
      <c r="A845" s="54"/>
      <c r="B845" s="54"/>
      <c r="C845" s="54"/>
      <c r="D845" s="54"/>
      <c r="E845" s="54"/>
      <c r="F845" s="54"/>
      <c r="G845" s="54"/>
      <c r="H845" s="54"/>
      <c r="I845" s="54"/>
      <c r="J845" s="54"/>
      <c r="K845" s="54"/>
      <c r="L845" s="54"/>
      <c r="M845" s="54"/>
      <c r="N845" s="54"/>
    </row>
    <row r="846" ht="14.25" customHeight="1">
      <c r="A846" s="54"/>
      <c r="B846" s="54"/>
      <c r="C846" s="54"/>
      <c r="D846" s="54"/>
      <c r="E846" s="54"/>
      <c r="F846" s="54"/>
      <c r="G846" s="54"/>
      <c r="H846" s="54"/>
      <c r="I846" s="54"/>
      <c r="J846" s="54"/>
      <c r="K846" s="54"/>
      <c r="L846" s="54"/>
      <c r="M846" s="54"/>
      <c r="N846" s="54"/>
    </row>
    <row r="847" ht="14.25" customHeight="1">
      <c r="A847" s="54"/>
      <c r="B847" s="54"/>
      <c r="C847" s="54"/>
      <c r="D847" s="54"/>
      <c r="E847" s="54"/>
      <c r="F847" s="54"/>
      <c r="G847" s="54"/>
      <c r="H847" s="54"/>
      <c r="I847" s="54"/>
      <c r="J847" s="54"/>
      <c r="K847" s="54"/>
      <c r="L847" s="54"/>
      <c r="M847" s="54"/>
      <c r="N847" s="54"/>
    </row>
    <row r="848" ht="14.25" customHeight="1">
      <c r="A848" s="54"/>
      <c r="B848" s="54"/>
      <c r="C848" s="54"/>
      <c r="D848" s="54"/>
      <c r="E848" s="54"/>
      <c r="F848" s="54"/>
      <c r="G848" s="54"/>
      <c r="H848" s="54"/>
      <c r="I848" s="54"/>
      <c r="J848" s="54"/>
      <c r="K848" s="54"/>
      <c r="L848" s="54"/>
      <c r="M848" s="54"/>
      <c r="N848" s="54"/>
    </row>
    <row r="849" ht="14.25" customHeight="1">
      <c r="A849" s="54"/>
      <c r="B849" s="54"/>
      <c r="C849" s="54"/>
      <c r="D849" s="54"/>
      <c r="E849" s="54"/>
      <c r="F849" s="54"/>
      <c r="G849" s="54"/>
      <c r="H849" s="54"/>
      <c r="I849" s="54"/>
      <c r="J849" s="54"/>
      <c r="K849" s="54"/>
      <c r="L849" s="54"/>
      <c r="M849" s="54"/>
      <c r="N849" s="54"/>
    </row>
    <row r="850" ht="14.25" customHeight="1">
      <c r="A850" s="54"/>
      <c r="B850" s="54"/>
      <c r="C850" s="54"/>
      <c r="D850" s="54"/>
      <c r="E850" s="54"/>
      <c r="F850" s="54"/>
      <c r="G850" s="54"/>
      <c r="H850" s="54"/>
      <c r="I850" s="54"/>
      <c r="J850" s="54"/>
      <c r="K850" s="54"/>
      <c r="L850" s="54"/>
      <c r="M850" s="54"/>
      <c r="N850" s="54"/>
    </row>
    <row r="851" ht="14.25" customHeight="1">
      <c r="A851" s="54"/>
      <c r="B851" s="54"/>
      <c r="C851" s="54"/>
      <c r="D851" s="54"/>
      <c r="E851" s="54"/>
      <c r="F851" s="54"/>
      <c r="G851" s="54"/>
      <c r="H851" s="54"/>
      <c r="I851" s="54"/>
      <c r="J851" s="54"/>
      <c r="K851" s="54"/>
      <c r="L851" s="54"/>
      <c r="M851" s="54"/>
      <c r="N851" s="54"/>
    </row>
    <row r="852" ht="14.25" customHeight="1">
      <c r="A852" s="54"/>
      <c r="B852" s="54"/>
      <c r="C852" s="54"/>
      <c r="D852" s="54"/>
      <c r="E852" s="54"/>
      <c r="F852" s="54"/>
      <c r="G852" s="54"/>
      <c r="H852" s="54"/>
      <c r="I852" s="54"/>
      <c r="J852" s="54"/>
      <c r="K852" s="54"/>
      <c r="L852" s="54"/>
      <c r="M852" s="54"/>
      <c r="N852" s="54"/>
    </row>
    <row r="853" ht="14.25" customHeight="1">
      <c r="A853" s="54"/>
      <c r="B853" s="54"/>
      <c r="C853" s="54"/>
      <c r="D853" s="54"/>
      <c r="E853" s="54"/>
      <c r="F853" s="54"/>
      <c r="G853" s="54"/>
      <c r="H853" s="54"/>
      <c r="I853" s="54"/>
      <c r="J853" s="54"/>
      <c r="K853" s="54"/>
      <c r="L853" s="54"/>
      <c r="M853" s="54"/>
      <c r="N853" s="54"/>
    </row>
    <row r="854" ht="14.25" customHeight="1">
      <c r="A854" s="54"/>
      <c r="B854" s="54"/>
      <c r="C854" s="54"/>
      <c r="D854" s="54"/>
      <c r="E854" s="54"/>
      <c r="F854" s="54"/>
      <c r="G854" s="54"/>
      <c r="H854" s="54"/>
      <c r="I854" s="54"/>
      <c r="J854" s="54"/>
      <c r="K854" s="54"/>
      <c r="L854" s="54"/>
      <c r="M854" s="54"/>
      <c r="N854" s="54"/>
    </row>
    <row r="855" ht="14.25" customHeight="1">
      <c r="A855" s="54"/>
      <c r="B855" s="54"/>
      <c r="C855" s="54"/>
      <c r="D855" s="54"/>
      <c r="E855" s="54"/>
      <c r="F855" s="54"/>
      <c r="G855" s="54"/>
      <c r="H855" s="54"/>
      <c r="I855" s="54"/>
      <c r="J855" s="54"/>
      <c r="K855" s="54"/>
      <c r="L855" s="54"/>
      <c r="M855" s="54"/>
      <c r="N855" s="54"/>
    </row>
    <row r="856" ht="14.25" customHeight="1">
      <c r="A856" s="54"/>
      <c r="B856" s="54"/>
      <c r="C856" s="54"/>
      <c r="D856" s="54"/>
      <c r="E856" s="54"/>
      <c r="F856" s="54"/>
      <c r="G856" s="54"/>
      <c r="H856" s="54"/>
      <c r="I856" s="54"/>
      <c r="J856" s="54"/>
      <c r="K856" s="54"/>
      <c r="L856" s="54"/>
      <c r="M856" s="54"/>
      <c r="N856" s="54"/>
    </row>
    <row r="857" ht="14.25" customHeight="1">
      <c r="A857" s="54"/>
      <c r="B857" s="54"/>
      <c r="C857" s="54"/>
      <c r="D857" s="54"/>
      <c r="E857" s="54"/>
      <c r="F857" s="54"/>
      <c r="G857" s="54"/>
      <c r="H857" s="54"/>
      <c r="I857" s="54"/>
      <c r="J857" s="54"/>
      <c r="K857" s="54"/>
      <c r="L857" s="54"/>
      <c r="M857" s="54"/>
      <c r="N857" s="54"/>
    </row>
    <row r="858" ht="14.25" customHeight="1">
      <c r="A858" s="54"/>
      <c r="B858" s="54"/>
      <c r="C858" s="54"/>
      <c r="D858" s="54"/>
      <c r="E858" s="54"/>
      <c r="F858" s="54"/>
      <c r="G858" s="54"/>
      <c r="H858" s="54"/>
      <c r="I858" s="54"/>
      <c r="J858" s="54"/>
      <c r="K858" s="54"/>
      <c r="L858" s="54"/>
      <c r="M858" s="54"/>
      <c r="N858" s="54"/>
    </row>
    <row r="859" ht="14.25" customHeight="1">
      <c r="A859" s="54"/>
      <c r="B859" s="54"/>
      <c r="C859" s="54"/>
      <c r="D859" s="54"/>
      <c r="E859" s="54"/>
      <c r="F859" s="54"/>
      <c r="G859" s="54"/>
      <c r="H859" s="54"/>
      <c r="I859" s="54"/>
      <c r="J859" s="54"/>
      <c r="K859" s="54"/>
      <c r="L859" s="54"/>
      <c r="M859" s="54"/>
      <c r="N859" s="54"/>
    </row>
    <row r="860" ht="14.25" customHeight="1">
      <c r="A860" s="54"/>
      <c r="B860" s="54"/>
      <c r="C860" s="54"/>
      <c r="D860" s="54"/>
      <c r="E860" s="54"/>
      <c r="F860" s="54"/>
      <c r="G860" s="54"/>
      <c r="H860" s="54"/>
      <c r="I860" s="54"/>
      <c r="J860" s="54"/>
      <c r="K860" s="54"/>
      <c r="L860" s="54"/>
      <c r="M860" s="54"/>
      <c r="N860" s="54"/>
    </row>
    <row r="861" ht="14.25" customHeight="1">
      <c r="A861" s="54"/>
      <c r="B861" s="54"/>
      <c r="C861" s="54"/>
      <c r="D861" s="54"/>
      <c r="E861" s="54"/>
      <c r="F861" s="54"/>
      <c r="G861" s="54"/>
      <c r="H861" s="54"/>
      <c r="I861" s="54"/>
      <c r="J861" s="54"/>
      <c r="K861" s="54"/>
      <c r="L861" s="54"/>
      <c r="M861" s="54"/>
      <c r="N861" s="54"/>
    </row>
    <row r="862" ht="14.25" customHeight="1">
      <c r="A862" s="54"/>
      <c r="B862" s="54"/>
      <c r="C862" s="54"/>
      <c r="D862" s="54"/>
      <c r="E862" s="54"/>
      <c r="F862" s="54"/>
      <c r="G862" s="54"/>
      <c r="H862" s="54"/>
      <c r="I862" s="54"/>
      <c r="J862" s="54"/>
      <c r="K862" s="54"/>
      <c r="L862" s="54"/>
      <c r="M862" s="54"/>
      <c r="N862" s="54"/>
    </row>
    <row r="863" ht="14.25" customHeight="1">
      <c r="A863" s="54"/>
      <c r="B863" s="54"/>
      <c r="C863" s="54"/>
      <c r="D863" s="54"/>
      <c r="E863" s="54"/>
      <c r="F863" s="54"/>
      <c r="G863" s="54"/>
      <c r="H863" s="54"/>
      <c r="I863" s="54"/>
      <c r="J863" s="54"/>
      <c r="K863" s="54"/>
      <c r="L863" s="54"/>
      <c r="M863" s="54"/>
      <c r="N863" s="54"/>
    </row>
    <row r="864" ht="14.25" customHeight="1">
      <c r="A864" s="54"/>
      <c r="B864" s="54"/>
      <c r="C864" s="54"/>
      <c r="D864" s="54"/>
      <c r="E864" s="54"/>
      <c r="F864" s="54"/>
      <c r="G864" s="54"/>
      <c r="H864" s="54"/>
      <c r="I864" s="54"/>
      <c r="J864" s="54"/>
      <c r="K864" s="54"/>
      <c r="L864" s="54"/>
      <c r="M864" s="54"/>
      <c r="N864" s="54"/>
    </row>
    <row r="865" ht="14.25" customHeight="1">
      <c r="A865" s="54"/>
      <c r="B865" s="54"/>
      <c r="C865" s="54"/>
      <c r="D865" s="54"/>
      <c r="E865" s="54"/>
      <c r="F865" s="54"/>
      <c r="G865" s="54"/>
      <c r="H865" s="54"/>
      <c r="I865" s="54"/>
      <c r="J865" s="54"/>
      <c r="K865" s="54"/>
      <c r="L865" s="54"/>
      <c r="M865" s="54"/>
      <c r="N865" s="54"/>
    </row>
    <row r="866" ht="14.25" customHeight="1">
      <c r="A866" s="54"/>
      <c r="B866" s="54"/>
      <c r="C866" s="54"/>
      <c r="D866" s="54"/>
      <c r="E866" s="54"/>
      <c r="F866" s="54"/>
      <c r="G866" s="54"/>
      <c r="H866" s="54"/>
      <c r="I866" s="54"/>
      <c r="J866" s="54"/>
      <c r="K866" s="54"/>
      <c r="L866" s="54"/>
      <c r="M866" s="54"/>
      <c r="N866" s="54"/>
    </row>
    <row r="867" ht="14.25" customHeight="1">
      <c r="A867" s="54"/>
      <c r="B867" s="54"/>
      <c r="C867" s="54"/>
      <c r="D867" s="54"/>
      <c r="E867" s="54"/>
      <c r="F867" s="54"/>
      <c r="G867" s="54"/>
      <c r="H867" s="54"/>
      <c r="I867" s="54"/>
      <c r="J867" s="54"/>
      <c r="K867" s="54"/>
      <c r="L867" s="54"/>
      <c r="M867" s="54"/>
      <c r="N867" s="54"/>
    </row>
    <row r="868" ht="14.25" customHeight="1">
      <c r="A868" s="54"/>
      <c r="B868" s="54"/>
      <c r="C868" s="54"/>
      <c r="D868" s="54"/>
      <c r="E868" s="54"/>
      <c r="F868" s="54"/>
      <c r="G868" s="54"/>
      <c r="H868" s="54"/>
      <c r="I868" s="54"/>
      <c r="J868" s="54"/>
      <c r="K868" s="54"/>
      <c r="L868" s="54"/>
      <c r="M868" s="54"/>
      <c r="N868" s="54"/>
    </row>
    <row r="869" ht="14.25" customHeight="1">
      <c r="A869" s="54"/>
      <c r="B869" s="54"/>
      <c r="C869" s="54"/>
      <c r="D869" s="54"/>
      <c r="E869" s="54"/>
      <c r="F869" s="54"/>
      <c r="G869" s="54"/>
      <c r="H869" s="54"/>
      <c r="I869" s="54"/>
      <c r="J869" s="54"/>
      <c r="K869" s="54"/>
      <c r="L869" s="54"/>
      <c r="M869" s="54"/>
      <c r="N869" s="54"/>
    </row>
    <row r="870" ht="14.25" customHeight="1">
      <c r="A870" s="54"/>
      <c r="B870" s="54"/>
      <c r="C870" s="54"/>
      <c r="D870" s="54"/>
      <c r="E870" s="54"/>
      <c r="F870" s="54"/>
      <c r="G870" s="54"/>
      <c r="H870" s="54"/>
      <c r="I870" s="54"/>
      <c r="J870" s="54"/>
      <c r="K870" s="54"/>
      <c r="L870" s="54"/>
      <c r="M870" s="54"/>
      <c r="N870" s="54"/>
    </row>
    <row r="871" ht="14.25" customHeight="1">
      <c r="A871" s="54"/>
      <c r="B871" s="54"/>
      <c r="C871" s="54"/>
      <c r="D871" s="54"/>
      <c r="E871" s="54"/>
      <c r="F871" s="54"/>
      <c r="G871" s="54"/>
      <c r="H871" s="54"/>
      <c r="I871" s="54"/>
      <c r="J871" s="54"/>
      <c r="K871" s="54"/>
      <c r="L871" s="54"/>
      <c r="M871" s="54"/>
      <c r="N871" s="54"/>
    </row>
    <row r="872" ht="14.25" customHeight="1">
      <c r="A872" s="54"/>
      <c r="B872" s="54"/>
      <c r="C872" s="54"/>
      <c r="D872" s="54"/>
      <c r="E872" s="54"/>
      <c r="F872" s="54"/>
      <c r="G872" s="54"/>
      <c r="H872" s="54"/>
      <c r="I872" s="54"/>
      <c r="J872" s="54"/>
      <c r="K872" s="54"/>
      <c r="L872" s="54"/>
      <c r="M872" s="54"/>
      <c r="N872" s="54"/>
    </row>
    <row r="873" ht="14.25" customHeight="1">
      <c r="A873" s="54"/>
      <c r="B873" s="54"/>
      <c r="C873" s="54"/>
      <c r="D873" s="54"/>
      <c r="E873" s="54"/>
      <c r="F873" s="54"/>
      <c r="G873" s="54"/>
      <c r="H873" s="54"/>
      <c r="I873" s="54"/>
      <c r="J873" s="54"/>
      <c r="K873" s="54"/>
      <c r="L873" s="54"/>
      <c r="M873" s="54"/>
      <c r="N873" s="54"/>
    </row>
    <row r="874" ht="14.25" customHeight="1">
      <c r="A874" s="54"/>
      <c r="B874" s="54"/>
      <c r="C874" s="54"/>
      <c r="D874" s="54"/>
      <c r="E874" s="54"/>
      <c r="F874" s="54"/>
      <c r="G874" s="54"/>
      <c r="H874" s="54"/>
      <c r="I874" s="54"/>
      <c r="J874" s="54"/>
      <c r="K874" s="54"/>
      <c r="L874" s="54"/>
      <c r="M874" s="54"/>
      <c r="N874" s="54"/>
    </row>
    <row r="875" ht="14.25" customHeight="1">
      <c r="A875" s="54"/>
      <c r="B875" s="54"/>
      <c r="C875" s="54"/>
      <c r="D875" s="54"/>
      <c r="E875" s="54"/>
      <c r="F875" s="54"/>
      <c r="G875" s="54"/>
      <c r="H875" s="54"/>
      <c r="I875" s="54"/>
      <c r="J875" s="54"/>
      <c r="K875" s="54"/>
      <c r="L875" s="54"/>
      <c r="M875" s="54"/>
      <c r="N875" s="54"/>
    </row>
    <row r="876" ht="14.25" customHeight="1">
      <c r="A876" s="54"/>
      <c r="B876" s="54"/>
      <c r="C876" s="54"/>
      <c r="D876" s="54"/>
      <c r="E876" s="54"/>
      <c r="F876" s="54"/>
      <c r="G876" s="54"/>
      <c r="H876" s="54"/>
      <c r="I876" s="54"/>
      <c r="J876" s="54"/>
      <c r="K876" s="54"/>
      <c r="L876" s="54"/>
      <c r="M876" s="54"/>
      <c r="N876" s="54"/>
    </row>
    <row r="877" ht="14.25" customHeight="1">
      <c r="A877" s="54"/>
      <c r="B877" s="54"/>
      <c r="C877" s="54"/>
      <c r="D877" s="54"/>
      <c r="E877" s="54"/>
      <c r="F877" s="54"/>
      <c r="G877" s="54"/>
      <c r="H877" s="54"/>
      <c r="I877" s="54"/>
      <c r="J877" s="54"/>
      <c r="K877" s="54"/>
      <c r="L877" s="54"/>
      <c r="M877" s="54"/>
      <c r="N877" s="54"/>
    </row>
    <row r="878" ht="14.25" customHeight="1">
      <c r="A878" s="54"/>
      <c r="B878" s="54"/>
      <c r="C878" s="54"/>
      <c r="D878" s="54"/>
      <c r="E878" s="54"/>
      <c r="F878" s="54"/>
      <c r="G878" s="54"/>
      <c r="H878" s="54"/>
      <c r="I878" s="54"/>
      <c r="J878" s="54"/>
      <c r="K878" s="54"/>
      <c r="L878" s="54"/>
      <c r="M878" s="54"/>
      <c r="N878" s="54"/>
    </row>
    <row r="879" ht="14.25" customHeight="1">
      <c r="A879" s="54"/>
      <c r="B879" s="54"/>
      <c r="C879" s="54"/>
      <c r="D879" s="54"/>
      <c r="E879" s="54"/>
      <c r="F879" s="54"/>
      <c r="G879" s="54"/>
      <c r="H879" s="54"/>
      <c r="I879" s="54"/>
      <c r="J879" s="54"/>
      <c r="K879" s="54"/>
      <c r="L879" s="54"/>
      <c r="M879" s="54"/>
      <c r="N879" s="54"/>
    </row>
    <row r="880" ht="14.25" customHeight="1">
      <c r="A880" s="54"/>
      <c r="B880" s="54"/>
      <c r="C880" s="54"/>
      <c r="D880" s="54"/>
      <c r="E880" s="54"/>
      <c r="F880" s="54"/>
      <c r="G880" s="54"/>
      <c r="H880" s="54"/>
      <c r="I880" s="54"/>
      <c r="J880" s="54"/>
      <c r="K880" s="54"/>
      <c r="L880" s="54"/>
      <c r="M880" s="54"/>
      <c r="N880" s="54"/>
    </row>
    <row r="881" ht="14.25" customHeight="1">
      <c r="A881" s="54"/>
      <c r="B881" s="54"/>
      <c r="C881" s="54"/>
      <c r="D881" s="54"/>
      <c r="E881" s="54"/>
      <c r="F881" s="54"/>
      <c r="G881" s="54"/>
      <c r="H881" s="54"/>
      <c r="I881" s="54"/>
      <c r="J881" s="54"/>
      <c r="K881" s="54"/>
      <c r="L881" s="54"/>
      <c r="M881" s="54"/>
      <c r="N881" s="54"/>
    </row>
    <row r="882" ht="14.25" customHeight="1">
      <c r="A882" s="54"/>
      <c r="B882" s="54"/>
      <c r="C882" s="54"/>
      <c r="D882" s="54"/>
      <c r="E882" s="54"/>
      <c r="F882" s="54"/>
      <c r="G882" s="54"/>
      <c r="H882" s="54"/>
      <c r="I882" s="54"/>
      <c r="J882" s="54"/>
      <c r="K882" s="54"/>
      <c r="L882" s="54"/>
      <c r="M882" s="54"/>
      <c r="N882" s="54"/>
    </row>
    <row r="883" ht="14.25" customHeight="1">
      <c r="A883" s="54"/>
      <c r="B883" s="54"/>
      <c r="C883" s="54"/>
      <c r="D883" s="54"/>
      <c r="E883" s="54"/>
      <c r="F883" s="54"/>
      <c r="G883" s="54"/>
      <c r="H883" s="54"/>
      <c r="I883" s="54"/>
      <c r="J883" s="54"/>
      <c r="K883" s="54"/>
      <c r="L883" s="54"/>
      <c r="M883" s="54"/>
      <c r="N883" s="54"/>
    </row>
    <row r="884" ht="14.25" customHeight="1">
      <c r="A884" s="54"/>
      <c r="B884" s="54"/>
      <c r="C884" s="54"/>
      <c r="D884" s="54"/>
      <c r="E884" s="54"/>
      <c r="F884" s="54"/>
      <c r="G884" s="54"/>
      <c r="H884" s="54"/>
      <c r="I884" s="54"/>
      <c r="J884" s="54"/>
      <c r="K884" s="54"/>
      <c r="L884" s="54"/>
      <c r="M884" s="54"/>
      <c r="N884" s="54"/>
    </row>
    <row r="885" ht="14.25" customHeight="1">
      <c r="A885" s="54"/>
      <c r="B885" s="54"/>
      <c r="C885" s="54"/>
      <c r="D885" s="54"/>
      <c r="E885" s="54"/>
      <c r="F885" s="54"/>
      <c r="G885" s="54"/>
      <c r="H885" s="54"/>
      <c r="I885" s="54"/>
      <c r="J885" s="54"/>
      <c r="K885" s="54"/>
      <c r="L885" s="54"/>
      <c r="M885" s="54"/>
      <c r="N885" s="54"/>
    </row>
    <row r="886" ht="14.25" customHeight="1">
      <c r="A886" s="54"/>
      <c r="B886" s="54"/>
      <c r="C886" s="54"/>
      <c r="D886" s="54"/>
      <c r="E886" s="54"/>
      <c r="F886" s="54"/>
      <c r="G886" s="54"/>
      <c r="H886" s="54"/>
      <c r="I886" s="54"/>
      <c r="J886" s="54"/>
      <c r="K886" s="54"/>
      <c r="L886" s="54"/>
      <c r="M886" s="54"/>
      <c r="N886" s="54"/>
    </row>
    <row r="887" ht="14.25" customHeight="1">
      <c r="A887" s="54"/>
      <c r="B887" s="54"/>
      <c r="C887" s="54"/>
      <c r="D887" s="54"/>
      <c r="E887" s="54"/>
      <c r="F887" s="54"/>
      <c r="G887" s="54"/>
      <c r="H887" s="54"/>
      <c r="I887" s="54"/>
      <c r="J887" s="54"/>
      <c r="K887" s="54"/>
      <c r="L887" s="54"/>
      <c r="M887" s="54"/>
      <c r="N887" s="54"/>
    </row>
    <row r="888" ht="14.25" customHeight="1">
      <c r="A888" s="54"/>
      <c r="B888" s="54"/>
      <c r="C888" s="54"/>
      <c r="D888" s="54"/>
      <c r="E888" s="54"/>
      <c r="F888" s="54"/>
      <c r="G888" s="54"/>
      <c r="H888" s="54"/>
      <c r="I888" s="54"/>
      <c r="J888" s="54"/>
      <c r="K888" s="54"/>
      <c r="L888" s="54"/>
      <c r="M888" s="54"/>
      <c r="N888" s="54"/>
    </row>
    <row r="889" ht="14.25" customHeight="1">
      <c r="A889" s="54"/>
      <c r="B889" s="54"/>
      <c r="C889" s="54"/>
      <c r="D889" s="54"/>
      <c r="E889" s="54"/>
      <c r="F889" s="54"/>
      <c r="G889" s="54"/>
      <c r="H889" s="54"/>
      <c r="I889" s="54"/>
      <c r="J889" s="54"/>
      <c r="K889" s="54"/>
      <c r="L889" s="54"/>
      <c r="M889" s="54"/>
      <c r="N889" s="54"/>
    </row>
    <row r="890" ht="14.25" customHeight="1">
      <c r="A890" s="54"/>
      <c r="B890" s="54"/>
      <c r="C890" s="54"/>
      <c r="D890" s="54"/>
      <c r="E890" s="54"/>
      <c r="F890" s="54"/>
      <c r="G890" s="54"/>
      <c r="H890" s="54"/>
      <c r="I890" s="54"/>
      <c r="J890" s="54"/>
      <c r="K890" s="54"/>
      <c r="L890" s="54"/>
      <c r="M890" s="54"/>
      <c r="N890" s="54"/>
    </row>
    <row r="891" ht="14.25" customHeight="1">
      <c r="A891" s="54"/>
      <c r="B891" s="54"/>
      <c r="C891" s="54"/>
      <c r="D891" s="54"/>
      <c r="E891" s="54"/>
      <c r="F891" s="54"/>
      <c r="G891" s="54"/>
      <c r="H891" s="54"/>
      <c r="I891" s="54"/>
      <c r="J891" s="54"/>
      <c r="K891" s="54"/>
      <c r="L891" s="54"/>
      <c r="M891" s="54"/>
      <c r="N891" s="54"/>
    </row>
    <row r="892" ht="14.25" customHeight="1">
      <c r="A892" s="54"/>
      <c r="B892" s="54"/>
      <c r="C892" s="54"/>
      <c r="D892" s="54"/>
      <c r="E892" s="54"/>
      <c r="F892" s="54"/>
      <c r="G892" s="54"/>
      <c r="H892" s="54"/>
      <c r="I892" s="54"/>
      <c r="J892" s="54"/>
      <c r="K892" s="54"/>
      <c r="L892" s="54"/>
      <c r="M892" s="54"/>
      <c r="N892" s="54"/>
    </row>
    <row r="893" ht="14.25" customHeight="1">
      <c r="A893" s="54"/>
      <c r="B893" s="54"/>
      <c r="C893" s="54"/>
      <c r="D893" s="54"/>
      <c r="E893" s="54"/>
      <c r="F893" s="54"/>
      <c r="G893" s="54"/>
      <c r="H893" s="54"/>
      <c r="I893" s="54"/>
      <c r="J893" s="54"/>
      <c r="K893" s="54"/>
      <c r="L893" s="54"/>
      <c r="M893" s="54"/>
      <c r="N893" s="54"/>
    </row>
    <row r="894" ht="14.25" customHeight="1">
      <c r="A894" s="54"/>
      <c r="B894" s="54"/>
      <c r="C894" s="54"/>
      <c r="D894" s="54"/>
      <c r="E894" s="54"/>
      <c r="F894" s="54"/>
      <c r="G894" s="54"/>
      <c r="H894" s="54"/>
      <c r="I894" s="54"/>
      <c r="J894" s="54"/>
      <c r="K894" s="54"/>
      <c r="L894" s="54"/>
      <c r="M894" s="54"/>
      <c r="N894" s="54"/>
    </row>
    <row r="895" ht="14.25" customHeight="1">
      <c r="A895" s="54"/>
      <c r="B895" s="54"/>
      <c r="C895" s="54"/>
      <c r="D895" s="54"/>
      <c r="E895" s="54"/>
      <c r="F895" s="54"/>
      <c r="G895" s="54"/>
      <c r="H895" s="54"/>
      <c r="I895" s="54"/>
      <c r="J895" s="54"/>
      <c r="K895" s="54"/>
      <c r="L895" s="54"/>
      <c r="M895" s="54"/>
      <c r="N895" s="54"/>
    </row>
    <row r="896" ht="14.25" customHeight="1">
      <c r="A896" s="54"/>
      <c r="B896" s="54"/>
      <c r="C896" s="54"/>
      <c r="D896" s="54"/>
      <c r="E896" s="54"/>
      <c r="F896" s="54"/>
      <c r="G896" s="54"/>
      <c r="H896" s="54"/>
      <c r="I896" s="54"/>
      <c r="J896" s="54"/>
      <c r="K896" s="54"/>
      <c r="L896" s="54"/>
      <c r="M896" s="54"/>
      <c r="N896" s="54"/>
    </row>
    <row r="897" ht="14.25" customHeight="1">
      <c r="A897" s="54"/>
      <c r="B897" s="54"/>
      <c r="C897" s="54"/>
      <c r="D897" s="54"/>
      <c r="E897" s="54"/>
      <c r="F897" s="54"/>
      <c r="G897" s="54"/>
      <c r="H897" s="54"/>
      <c r="I897" s="54"/>
      <c r="J897" s="54"/>
      <c r="K897" s="54"/>
      <c r="L897" s="54"/>
      <c r="M897" s="54"/>
      <c r="N897" s="54"/>
    </row>
    <row r="898" ht="14.25" customHeight="1">
      <c r="A898" s="54"/>
      <c r="B898" s="54"/>
      <c r="C898" s="54"/>
      <c r="D898" s="54"/>
      <c r="E898" s="54"/>
      <c r="F898" s="54"/>
      <c r="G898" s="54"/>
      <c r="H898" s="54"/>
      <c r="I898" s="54"/>
      <c r="J898" s="54"/>
      <c r="K898" s="54"/>
      <c r="L898" s="54"/>
      <c r="M898" s="54"/>
      <c r="N898" s="54"/>
    </row>
    <row r="899" ht="14.25" customHeight="1">
      <c r="A899" s="54"/>
      <c r="B899" s="54"/>
      <c r="C899" s="54"/>
      <c r="D899" s="54"/>
      <c r="E899" s="54"/>
      <c r="F899" s="54"/>
      <c r="G899" s="54"/>
      <c r="H899" s="54"/>
      <c r="I899" s="54"/>
      <c r="J899" s="54"/>
      <c r="K899" s="54"/>
      <c r="L899" s="54"/>
      <c r="M899" s="54"/>
      <c r="N899" s="54"/>
    </row>
    <row r="900" ht="14.25" customHeight="1">
      <c r="A900" s="54"/>
      <c r="B900" s="54"/>
      <c r="C900" s="54"/>
      <c r="D900" s="54"/>
      <c r="E900" s="54"/>
      <c r="F900" s="54"/>
      <c r="G900" s="54"/>
      <c r="H900" s="54"/>
      <c r="I900" s="54"/>
      <c r="J900" s="54"/>
      <c r="K900" s="54"/>
      <c r="L900" s="54"/>
      <c r="M900" s="54"/>
      <c r="N900" s="54"/>
    </row>
    <row r="901" ht="14.25" customHeight="1">
      <c r="A901" s="54"/>
      <c r="B901" s="54"/>
      <c r="C901" s="54"/>
      <c r="D901" s="54"/>
      <c r="E901" s="54"/>
      <c r="F901" s="54"/>
      <c r="G901" s="54"/>
      <c r="H901" s="54"/>
      <c r="I901" s="54"/>
      <c r="J901" s="54"/>
      <c r="K901" s="54"/>
      <c r="L901" s="54"/>
      <c r="M901" s="54"/>
      <c r="N901" s="54"/>
    </row>
    <row r="902" ht="14.25" customHeight="1">
      <c r="A902" s="54"/>
      <c r="B902" s="54"/>
      <c r="C902" s="54"/>
      <c r="D902" s="54"/>
      <c r="E902" s="54"/>
      <c r="F902" s="54"/>
      <c r="G902" s="54"/>
      <c r="H902" s="54"/>
      <c r="I902" s="54"/>
      <c r="J902" s="54"/>
      <c r="K902" s="54"/>
      <c r="L902" s="54"/>
      <c r="M902" s="54"/>
      <c r="N902" s="54"/>
    </row>
    <row r="903" ht="14.25" customHeight="1">
      <c r="A903" s="54"/>
      <c r="B903" s="54"/>
      <c r="C903" s="54"/>
      <c r="D903" s="54"/>
      <c r="E903" s="54"/>
      <c r="F903" s="54"/>
      <c r="G903" s="54"/>
      <c r="H903" s="54"/>
      <c r="I903" s="54"/>
      <c r="J903" s="54"/>
      <c r="K903" s="54"/>
      <c r="L903" s="54"/>
      <c r="M903" s="54"/>
      <c r="N903" s="54"/>
    </row>
    <row r="904" ht="14.25" customHeight="1">
      <c r="A904" s="54"/>
      <c r="B904" s="54"/>
      <c r="C904" s="54"/>
      <c r="D904" s="54"/>
      <c r="E904" s="54"/>
      <c r="F904" s="54"/>
      <c r="G904" s="54"/>
      <c r="H904" s="54"/>
      <c r="I904" s="54"/>
      <c r="J904" s="54"/>
      <c r="K904" s="54"/>
      <c r="L904" s="54"/>
      <c r="M904" s="54"/>
      <c r="N904" s="54"/>
    </row>
    <row r="905" ht="14.25" customHeight="1">
      <c r="A905" s="54"/>
      <c r="B905" s="54"/>
      <c r="C905" s="54"/>
      <c r="D905" s="54"/>
      <c r="E905" s="54"/>
      <c r="F905" s="54"/>
      <c r="G905" s="54"/>
      <c r="H905" s="54"/>
      <c r="I905" s="54"/>
      <c r="J905" s="54"/>
      <c r="K905" s="54"/>
      <c r="L905" s="54"/>
      <c r="M905" s="54"/>
      <c r="N905" s="54"/>
    </row>
    <row r="906" ht="14.25" customHeight="1">
      <c r="A906" s="54"/>
      <c r="B906" s="54"/>
      <c r="C906" s="54"/>
      <c r="D906" s="54"/>
      <c r="E906" s="54"/>
      <c r="F906" s="54"/>
      <c r="G906" s="54"/>
      <c r="H906" s="54"/>
      <c r="I906" s="54"/>
      <c r="J906" s="54"/>
      <c r="K906" s="54"/>
      <c r="L906" s="54"/>
      <c r="M906" s="54"/>
      <c r="N906" s="54"/>
    </row>
    <row r="907" ht="14.25" customHeight="1">
      <c r="A907" s="54"/>
      <c r="B907" s="54"/>
      <c r="C907" s="54"/>
      <c r="D907" s="54"/>
      <c r="E907" s="54"/>
      <c r="F907" s="54"/>
      <c r="G907" s="54"/>
      <c r="H907" s="54"/>
      <c r="I907" s="54"/>
      <c r="J907" s="54"/>
      <c r="K907" s="54"/>
      <c r="L907" s="54"/>
      <c r="M907" s="54"/>
      <c r="N907" s="54"/>
    </row>
    <row r="908" ht="14.25" customHeight="1">
      <c r="A908" s="54"/>
      <c r="B908" s="54"/>
      <c r="C908" s="54"/>
      <c r="D908" s="54"/>
      <c r="E908" s="54"/>
      <c r="F908" s="54"/>
      <c r="G908" s="54"/>
      <c r="H908" s="54"/>
      <c r="I908" s="54"/>
      <c r="J908" s="54"/>
      <c r="K908" s="54"/>
      <c r="L908" s="54"/>
      <c r="M908" s="54"/>
      <c r="N908" s="54"/>
    </row>
    <row r="909" ht="14.25" customHeight="1">
      <c r="A909" s="54"/>
      <c r="B909" s="54"/>
      <c r="C909" s="54"/>
      <c r="D909" s="54"/>
      <c r="E909" s="54"/>
      <c r="F909" s="54"/>
      <c r="G909" s="54"/>
      <c r="H909" s="54"/>
      <c r="I909" s="54"/>
      <c r="J909" s="54"/>
      <c r="K909" s="54"/>
      <c r="L909" s="54"/>
      <c r="M909" s="54"/>
      <c r="N909" s="54"/>
    </row>
    <row r="910" ht="14.25" customHeight="1">
      <c r="A910" s="54"/>
      <c r="B910" s="54"/>
      <c r="C910" s="54"/>
      <c r="D910" s="54"/>
      <c r="E910" s="54"/>
      <c r="F910" s="54"/>
      <c r="G910" s="54"/>
      <c r="H910" s="54"/>
      <c r="I910" s="54"/>
      <c r="J910" s="54"/>
      <c r="K910" s="54"/>
      <c r="L910" s="54"/>
      <c r="M910" s="54"/>
      <c r="N910" s="54"/>
    </row>
    <row r="911" ht="14.25" customHeight="1">
      <c r="A911" s="54"/>
      <c r="B911" s="54"/>
      <c r="C911" s="54"/>
      <c r="D911" s="54"/>
      <c r="E911" s="54"/>
      <c r="F911" s="54"/>
      <c r="G911" s="54"/>
      <c r="H911" s="54"/>
      <c r="I911" s="54"/>
      <c r="J911" s="54"/>
      <c r="K911" s="54"/>
      <c r="L911" s="54"/>
      <c r="M911" s="54"/>
      <c r="N911" s="54"/>
    </row>
    <row r="912" ht="14.25" customHeight="1">
      <c r="A912" s="54"/>
      <c r="B912" s="54"/>
      <c r="C912" s="54"/>
      <c r="D912" s="54"/>
      <c r="E912" s="54"/>
      <c r="F912" s="54"/>
      <c r="G912" s="54"/>
      <c r="H912" s="54"/>
      <c r="I912" s="54"/>
      <c r="J912" s="54"/>
      <c r="K912" s="54"/>
      <c r="L912" s="54"/>
      <c r="M912" s="54"/>
      <c r="N912" s="54"/>
    </row>
    <row r="913" ht="14.25" customHeight="1">
      <c r="A913" s="54"/>
      <c r="B913" s="54"/>
      <c r="C913" s="54"/>
      <c r="D913" s="54"/>
      <c r="E913" s="54"/>
      <c r="F913" s="54"/>
      <c r="G913" s="54"/>
      <c r="H913" s="54"/>
      <c r="I913" s="54"/>
      <c r="J913" s="54"/>
      <c r="K913" s="54"/>
      <c r="L913" s="54"/>
      <c r="M913" s="54"/>
      <c r="N913" s="54"/>
    </row>
    <row r="914" ht="14.25" customHeight="1">
      <c r="A914" s="54"/>
      <c r="B914" s="54"/>
      <c r="C914" s="54"/>
      <c r="D914" s="54"/>
      <c r="E914" s="54"/>
      <c r="F914" s="54"/>
      <c r="G914" s="54"/>
      <c r="H914" s="54"/>
      <c r="I914" s="54"/>
      <c r="J914" s="54"/>
      <c r="K914" s="54"/>
      <c r="L914" s="54"/>
      <c r="M914" s="54"/>
      <c r="N914" s="54"/>
    </row>
    <row r="915" ht="14.25" customHeight="1">
      <c r="A915" s="54"/>
      <c r="B915" s="54"/>
      <c r="C915" s="54"/>
      <c r="D915" s="54"/>
      <c r="E915" s="54"/>
      <c r="F915" s="54"/>
      <c r="G915" s="54"/>
      <c r="H915" s="54"/>
      <c r="I915" s="54"/>
      <c r="J915" s="54"/>
      <c r="K915" s="54"/>
      <c r="L915" s="54"/>
      <c r="M915" s="54"/>
      <c r="N915" s="54"/>
    </row>
    <row r="916" ht="14.25" customHeight="1">
      <c r="A916" s="54"/>
      <c r="B916" s="54"/>
      <c r="C916" s="54"/>
      <c r="D916" s="54"/>
      <c r="E916" s="54"/>
      <c r="F916" s="54"/>
      <c r="G916" s="54"/>
      <c r="H916" s="54"/>
      <c r="I916" s="54"/>
      <c r="J916" s="54"/>
      <c r="K916" s="54"/>
      <c r="L916" s="54"/>
      <c r="M916" s="54"/>
      <c r="N916" s="54"/>
    </row>
    <row r="917" ht="14.25" customHeight="1">
      <c r="A917" s="54"/>
      <c r="B917" s="54"/>
      <c r="C917" s="54"/>
      <c r="D917" s="54"/>
      <c r="E917" s="54"/>
      <c r="F917" s="54"/>
      <c r="G917" s="54"/>
      <c r="H917" s="54"/>
      <c r="I917" s="54"/>
      <c r="J917" s="54"/>
      <c r="K917" s="54"/>
      <c r="L917" s="54"/>
      <c r="M917" s="54"/>
      <c r="N917" s="54"/>
    </row>
    <row r="918" ht="14.25" customHeight="1">
      <c r="A918" s="54"/>
      <c r="B918" s="54"/>
      <c r="C918" s="54"/>
      <c r="D918" s="54"/>
      <c r="E918" s="54"/>
      <c r="F918" s="54"/>
      <c r="G918" s="54"/>
      <c r="H918" s="54"/>
      <c r="I918" s="54"/>
      <c r="J918" s="54"/>
      <c r="K918" s="54"/>
      <c r="L918" s="54"/>
      <c r="M918" s="54"/>
      <c r="N918" s="54"/>
    </row>
    <row r="919" ht="14.25" customHeight="1">
      <c r="A919" s="54"/>
      <c r="B919" s="54"/>
      <c r="C919" s="54"/>
      <c r="D919" s="54"/>
      <c r="E919" s="54"/>
      <c r="F919" s="54"/>
      <c r="G919" s="54"/>
      <c r="H919" s="54"/>
      <c r="I919" s="54"/>
      <c r="J919" s="54"/>
      <c r="K919" s="54"/>
      <c r="L919" s="54"/>
      <c r="M919" s="54"/>
      <c r="N919" s="54"/>
    </row>
    <row r="920" ht="14.25" customHeight="1">
      <c r="A920" s="54"/>
      <c r="B920" s="54"/>
      <c r="C920" s="54"/>
      <c r="D920" s="54"/>
      <c r="E920" s="54"/>
      <c r="F920" s="54"/>
      <c r="G920" s="54"/>
      <c r="H920" s="54"/>
      <c r="I920" s="54"/>
      <c r="J920" s="54"/>
      <c r="K920" s="54"/>
      <c r="L920" s="54"/>
      <c r="M920" s="54"/>
      <c r="N920" s="54"/>
    </row>
    <row r="921" ht="14.25" customHeight="1">
      <c r="A921" s="54"/>
      <c r="B921" s="54"/>
      <c r="C921" s="54"/>
      <c r="D921" s="54"/>
      <c r="E921" s="54"/>
      <c r="F921" s="54"/>
      <c r="G921" s="54"/>
      <c r="H921" s="54"/>
      <c r="I921" s="54"/>
      <c r="J921" s="54"/>
      <c r="K921" s="54"/>
      <c r="L921" s="54"/>
      <c r="M921" s="54"/>
      <c r="N921" s="54"/>
    </row>
    <row r="922" ht="14.25" customHeight="1">
      <c r="A922" s="54"/>
      <c r="B922" s="54"/>
      <c r="C922" s="54"/>
      <c r="D922" s="54"/>
      <c r="E922" s="54"/>
      <c r="F922" s="54"/>
      <c r="G922" s="54"/>
      <c r="H922" s="54"/>
      <c r="I922" s="54"/>
      <c r="J922" s="54"/>
      <c r="K922" s="54"/>
      <c r="L922" s="54"/>
      <c r="M922" s="54"/>
      <c r="N922" s="54"/>
    </row>
    <row r="923" ht="14.25" customHeight="1">
      <c r="A923" s="54"/>
      <c r="B923" s="54"/>
      <c r="C923" s="54"/>
      <c r="D923" s="54"/>
      <c r="E923" s="54"/>
      <c r="F923" s="54"/>
      <c r="G923" s="54"/>
      <c r="H923" s="54"/>
      <c r="I923" s="54"/>
      <c r="J923" s="54"/>
      <c r="K923" s="54"/>
      <c r="L923" s="54"/>
      <c r="M923" s="54"/>
      <c r="N923" s="54"/>
    </row>
    <row r="924" ht="14.25" customHeight="1">
      <c r="A924" s="54"/>
      <c r="B924" s="54"/>
      <c r="C924" s="54"/>
      <c r="D924" s="54"/>
      <c r="E924" s="54"/>
      <c r="F924" s="54"/>
      <c r="G924" s="54"/>
      <c r="H924" s="54"/>
      <c r="I924" s="54"/>
      <c r="J924" s="54"/>
      <c r="K924" s="54"/>
      <c r="L924" s="54"/>
      <c r="M924" s="54"/>
      <c r="N924" s="54"/>
    </row>
    <row r="925" ht="14.25" customHeight="1">
      <c r="A925" s="54"/>
      <c r="B925" s="54"/>
      <c r="C925" s="54"/>
      <c r="D925" s="54"/>
      <c r="E925" s="54"/>
      <c r="F925" s="54"/>
      <c r="G925" s="54"/>
      <c r="H925" s="54"/>
      <c r="I925" s="54"/>
      <c r="J925" s="54"/>
      <c r="K925" s="54"/>
      <c r="L925" s="54"/>
      <c r="M925" s="54"/>
      <c r="N925" s="54"/>
    </row>
    <row r="926" ht="14.25" customHeight="1">
      <c r="A926" s="54"/>
      <c r="B926" s="54"/>
      <c r="C926" s="54"/>
      <c r="D926" s="54"/>
      <c r="E926" s="54"/>
      <c r="F926" s="54"/>
      <c r="G926" s="54"/>
      <c r="H926" s="54"/>
      <c r="I926" s="54"/>
      <c r="J926" s="54"/>
      <c r="K926" s="54"/>
      <c r="L926" s="54"/>
      <c r="M926" s="54"/>
      <c r="N926" s="54"/>
    </row>
    <row r="927" ht="14.25" customHeight="1">
      <c r="A927" s="54"/>
      <c r="B927" s="54"/>
      <c r="C927" s="54"/>
      <c r="D927" s="54"/>
      <c r="E927" s="54"/>
      <c r="F927" s="54"/>
      <c r="G927" s="54"/>
      <c r="H927" s="54"/>
      <c r="I927" s="54"/>
      <c r="J927" s="54"/>
      <c r="K927" s="54"/>
      <c r="L927" s="54"/>
      <c r="M927" s="54"/>
      <c r="N927" s="54"/>
    </row>
    <row r="928" ht="14.25" customHeight="1">
      <c r="A928" s="54"/>
      <c r="B928" s="54"/>
      <c r="C928" s="54"/>
      <c r="D928" s="54"/>
      <c r="E928" s="54"/>
      <c r="F928" s="54"/>
      <c r="G928" s="54"/>
      <c r="H928" s="54"/>
      <c r="I928" s="54"/>
      <c r="J928" s="54"/>
      <c r="K928" s="54"/>
      <c r="L928" s="54"/>
      <c r="M928" s="54"/>
      <c r="N928" s="54"/>
    </row>
    <row r="929" ht="14.25" customHeight="1">
      <c r="A929" s="54"/>
      <c r="B929" s="54"/>
      <c r="C929" s="54"/>
      <c r="D929" s="54"/>
      <c r="E929" s="54"/>
      <c r="F929" s="54"/>
      <c r="G929" s="54"/>
      <c r="H929" s="54"/>
      <c r="I929" s="54"/>
      <c r="J929" s="54"/>
      <c r="K929" s="54"/>
      <c r="L929" s="54"/>
      <c r="M929" s="54"/>
      <c r="N929" s="54"/>
    </row>
    <row r="930" ht="14.25" customHeight="1">
      <c r="A930" s="54"/>
      <c r="B930" s="54"/>
      <c r="C930" s="54"/>
      <c r="D930" s="54"/>
      <c r="E930" s="54"/>
      <c r="F930" s="54"/>
      <c r="G930" s="54"/>
      <c r="H930" s="54"/>
      <c r="I930" s="54"/>
      <c r="J930" s="54"/>
      <c r="K930" s="54"/>
      <c r="L930" s="54"/>
      <c r="M930" s="54"/>
      <c r="N930" s="54"/>
    </row>
    <row r="931" ht="14.25" customHeight="1">
      <c r="A931" s="54"/>
      <c r="B931" s="54"/>
      <c r="C931" s="54"/>
      <c r="D931" s="54"/>
      <c r="E931" s="54"/>
      <c r="F931" s="54"/>
      <c r="G931" s="54"/>
      <c r="H931" s="54"/>
      <c r="I931" s="54"/>
      <c r="J931" s="54"/>
      <c r="K931" s="54"/>
      <c r="L931" s="54"/>
      <c r="M931" s="54"/>
      <c r="N931" s="54"/>
    </row>
    <row r="932" ht="14.25" customHeight="1">
      <c r="A932" s="54"/>
      <c r="B932" s="54"/>
      <c r="C932" s="54"/>
      <c r="D932" s="54"/>
      <c r="E932" s="54"/>
      <c r="F932" s="54"/>
      <c r="G932" s="54"/>
      <c r="H932" s="54"/>
      <c r="I932" s="54"/>
      <c r="J932" s="54"/>
      <c r="K932" s="54"/>
      <c r="L932" s="54"/>
      <c r="M932" s="54"/>
      <c r="N932" s="54"/>
    </row>
    <row r="933" ht="14.25" customHeight="1">
      <c r="A933" s="54"/>
      <c r="B933" s="54"/>
      <c r="C933" s="54"/>
      <c r="D933" s="54"/>
      <c r="E933" s="54"/>
      <c r="F933" s="54"/>
      <c r="G933" s="54"/>
      <c r="H933" s="54"/>
      <c r="I933" s="54"/>
      <c r="J933" s="54"/>
      <c r="K933" s="54"/>
      <c r="L933" s="54"/>
      <c r="M933" s="54"/>
      <c r="N933" s="54"/>
    </row>
    <row r="934" ht="14.25" customHeight="1">
      <c r="A934" s="54"/>
      <c r="B934" s="54"/>
      <c r="C934" s="54"/>
      <c r="D934" s="54"/>
      <c r="E934" s="54"/>
      <c r="F934" s="54"/>
      <c r="G934" s="54"/>
      <c r="H934" s="54"/>
      <c r="I934" s="54"/>
      <c r="J934" s="54"/>
      <c r="K934" s="54"/>
      <c r="L934" s="54"/>
      <c r="M934" s="54"/>
      <c r="N934" s="54"/>
    </row>
    <row r="935" ht="14.25" customHeight="1">
      <c r="A935" s="54"/>
      <c r="B935" s="54"/>
      <c r="C935" s="54"/>
      <c r="D935" s="54"/>
      <c r="E935" s="54"/>
      <c r="F935" s="54"/>
      <c r="G935" s="54"/>
      <c r="H935" s="54"/>
      <c r="I935" s="54"/>
      <c r="J935" s="54"/>
      <c r="K935" s="54"/>
      <c r="L935" s="54"/>
      <c r="M935" s="54"/>
      <c r="N935" s="54"/>
    </row>
    <row r="936" ht="14.25" customHeight="1">
      <c r="A936" s="54"/>
      <c r="B936" s="54"/>
      <c r="C936" s="54"/>
      <c r="D936" s="54"/>
      <c r="E936" s="54"/>
      <c r="F936" s="54"/>
      <c r="G936" s="54"/>
      <c r="H936" s="54"/>
      <c r="I936" s="54"/>
      <c r="J936" s="54"/>
      <c r="K936" s="54"/>
      <c r="L936" s="54"/>
      <c r="M936" s="54"/>
      <c r="N936" s="54"/>
    </row>
    <row r="937" ht="14.25" customHeight="1">
      <c r="A937" s="54"/>
      <c r="B937" s="54"/>
      <c r="C937" s="54"/>
      <c r="D937" s="54"/>
      <c r="E937" s="54"/>
      <c r="F937" s="54"/>
      <c r="G937" s="54"/>
      <c r="H937" s="54"/>
      <c r="I937" s="54"/>
      <c r="J937" s="54"/>
      <c r="K937" s="54"/>
      <c r="L937" s="54"/>
      <c r="M937" s="54"/>
      <c r="N937" s="54"/>
    </row>
    <row r="938" ht="14.25" customHeight="1">
      <c r="A938" s="54"/>
      <c r="B938" s="54"/>
      <c r="C938" s="54"/>
      <c r="D938" s="54"/>
      <c r="E938" s="54"/>
      <c r="F938" s="54"/>
      <c r="G938" s="54"/>
      <c r="H938" s="54"/>
      <c r="I938" s="54"/>
      <c r="J938" s="54"/>
      <c r="K938" s="54"/>
      <c r="L938" s="54"/>
      <c r="M938" s="54"/>
      <c r="N938" s="54"/>
    </row>
    <row r="939" ht="14.25" customHeight="1">
      <c r="A939" s="54"/>
      <c r="B939" s="54"/>
      <c r="C939" s="54"/>
      <c r="D939" s="54"/>
      <c r="E939" s="54"/>
      <c r="F939" s="54"/>
      <c r="G939" s="54"/>
      <c r="H939" s="54"/>
      <c r="I939" s="54"/>
      <c r="J939" s="54"/>
      <c r="K939" s="54"/>
      <c r="L939" s="54"/>
      <c r="M939" s="54"/>
      <c r="N939" s="54"/>
    </row>
    <row r="940" ht="14.25" customHeight="1">
      <c r="A940" s="54"/>
      <c r="B940" s="54"/>
      <c r="C940" s="54"/>
      <c r="D940" s="54"/>
      <c r="E940" s="54"/>
      <c r="F940" s="54"/>
      <c r="G940" s="54"/>
      <c r="H940" s="54"/>
      <c r="I940" s="54"/>
      <c r="J940" s="54"/>
      <c r="K940" s="54"/>
      <c r="L940" s="54"/>
      <c r="M940" s="54"/>
      <c r="N940" s="54"/>
    </row>
    <row r="941" ht="14.25" customHeight="1">
      <c r="A941" s="54"/>
      <c r="B941" s="54"/>
      <c r="C941" s="54"/>
      <c r="D941" s="54"/>
      <c r="E941" s="54"/>
      <c r="F941" s="54"/>
      <c r="G941" s="54"/>
      <c r="H941" s="54"/>
      <c r="I941" s="54"/>
      <c r="J941" s="54"/>
      <c r="K941" s="54"/>
      <c r="L941" s="54"/>
      <c r="M941" s="54"/>
      <c r="N941" s="54"/>
    </row>
    <row r="942" ht="14.25" customHeight="1">
      <c r="A942" s="54"/>
      <c r="B942" s="54"/>
      <c r="C942" s="54"/>
      <c r="D942" s="54"/>
      <c r="E942" s="54"/>
      <c r="F942" s="54"/>
      <c r="G942" s="54"/>
      <c r="H942" s="54"/>
      <c r="I942" s="54"/>
      <c r="J942" s="54"/>
      <c r="K942" s="54"/>
      <c r="L942" s="54"/>
      <c r="M942" s="54"/>
      <c r="N942" s="54"/>
    </row>
    <row r="943" ht="14.25" customHeight="1">
      <c r="A943" s="54"/>
      <c r="B943" s="54"/>
      <c r="C943" s="54"/>
      <c r="D943" s="54"/>
      <c r="E943" s="54"/>
      <c r="F943" s="54"/>
      <c r="G943" s="54"/>
      <c r="H943" s="54"/>
      <c r="I943" s="54"/>
      <c r="J943" s="54"/>
      <c r="K943" s="54"/>
      <c r="L943" s="54"/>
      <c r="M943" s="54"/>
      <c r="N943" s="54"/>
    </row>
    <row r="944" ht="14.25" customHeight="1">
      <c r="A944" s="54"/>
      <c r="B944" s="54"/>
      <c r="C944" s="54"/>
      <c r="D944" s="54"/>
      <c r="E944" s="54"/>
      <c r="F944" s="54"/>
      <c r="G944" s="54"/>
      <c r="H944" s="54"/>
      <c r="I944" s="54"/>
      <c r="J944" s="54"/>
      <c r="K944" s="54"/>
      <c r="L944" s="54"/>
      <c r="M944" s="54"/>
      <c r="N944" s="54"/>
    </row>
    <row r="945" ht="14.25" customHeight="1">
      <c r="A945" s="54"/>
      <c r="B945" s="54"/>
      <c r="C945" s="54"/>
      <c r="D945" s="54"/>
      <c r="E945" s="54"/>
      <c r="F945" s="54"/>
      <c r="G945" s="54"/>
      <c r="H945" s="54"/>
      <c r="I945" s="54"/>
      <c r="J945" s="54"/>
      <c r="K945" s="54"/>
      <c r="L945" s="54"/>
      <c r="M945" s="54"/>
      <c r="N945" s="54"/>
    </row>
    <row r="946" ht="14.25" customHeight="1">
      <c r="A946" s="54"/>
      <c r="B946" s="54"/>
      <c r="C946" s="54"/>
      <c r="D946" s="54"/>
      <c r="E946" s="54"/>
      <c r="F946" s="54"/>
      <c r="G946" s="54"/>
      <c r="H946" s="54"/>
      <c r="I946" s="54"/>
      <c r="J946" s="54"/>
      <c r="K946" s="54"/>
      <c r="L946" s="54"/>
      <c r="M946" s="54"/>
      <c r="N946" s="54"/>
    </row>
    <row r="947" ht="14.25" customHeight="1">
      <c r="A947" s="54"/>
      <c r="B947" s="54"/>
      <c r="C947" s="54"/>
      <c r="D947" s="54"/>
      <c r="E947" s="54"/>
      <c r="F947" s="54"/>
      <c r="G947" s="54"/>
      <c r="H947" s="54"/>
      <c r="I947" s="54"/>
      <c r="J947" s="54"/>
      <c r="K947" s="54"/>
      <c r="L947" s="54"/>
      <c r="M947" s="54"/>
      <c r="N947" s="54"/>
    </row>
    <row r="948" ht="14.25" customHeight="1">
      <c r="A948" s="54"/>
      <c r="B948" s="54"/>
      <c r="C948" s="54"/>
      <c r="D948" s="54"/>
      <c r="E948" s="54"/>
      <c r="F948" s="54"/>
      <c r="G948" s="54"/>
      <c r="H948" s="54"/>
      <c r="I948" s="54"/>
      <c r="J948" s="54"/>
      <c r="K948" s="54"/>
      <c r="L948" s="54"/>
      <c r="M948" s="54"/>
      <c r="N948" s="54"/>
    </row>
    <row r="949" ht="14.25" customHeight="1">
      <c r="A949" s="54"/>
      <c r="B949" s="54"/>
      <c r="C949" s="54"/>
      <c r="D949" s="54"/>
      <c r="E949" s="54"/>
      <c r="F949" s="54"/>
      <c r="G949" s="54"/>
      <c r="H949" s="54"/>
      <c r="I949" s="54"/>
      <c r="J949" s="54"/>
      <c r="K949" s="54"/>
      <c r="L949" s="54"/>
      <c r="M949" s="54"/>
      <c r="N949" s="54"/>
    </row>
    <row r="950" ht="14.25" customHeight="1">
      <c r="A950" s="54"/>
      <c r="B950" s="54"/>
      <c r="C950" s="54"/>
      <c r="D950" s="54"/>
      <c r="E950" s="54"/>
      <c r="F950" s="54"/>
      <c r="G950" s="54"/>
      <c r="H950" s="54"/>
      <c r="I950" s="54"/>
      <c r="J950" s="54"/>
      <c r="K950" s="54"/>
      <c r="L950" s="54"/>
      <c r="M950" s="54"/>
      <c r="N950" s="54"/>
    </row>
    <row r="951" ht="14.25" customHeight="1">
      <c r="A951" s="54"/>
      <c r="B951" s="54"/>
      <c r="C951" s="54"/>
      <c r="D951" s="54"/>
      <c r="E951" s="54"/>
      <c r="F951" s="54"/>
      <c r="G951" s="54"/>
      <c r="H951" s="54"/>
      <c r="I951" s="54"/>
      <c r="J951" s="54"/>
      <c r="K951" s="54"/>
      <c r="L951" s="54"/>
      <c r="M951" s="54"/>
      <c r="N951" s="54"/>
    </row>
    <row r="952" ht="14.25" customHeight="1">
      <c r="A952" s="54"/>
      <c r="B952" s="54"/>
      <c r="C952" s="54"/>
      <c r="D952" s="54"/>
      <c r="E952" s="54"/>
      <c r="F952" s="54"/>
      <c r="G952" s="54"/>
      <c r="H952" s="54"/>
      <c r="I952" s="54"/>
      <c r="J952" s="54"/>
      <c r="K952" s="54"/>
      <c r="L952" s="54"/>
      <c r="M952" s="54"/>
      <c r="N952" s="54"/>
    </row>
    <row r="953" ht="14.25" customHeight="1">
      <c r="A953" s="54"/>
      <c r="B953" s="54"/>
      <c r="C953" s="54"/>
      <c r="D953" s="54"/>
      <c r="E953" s="54"/>
      <c r="F953" s="54"/>
      <c r="G953" s="54"/>
      <c r="H953" s="54"/>
      <c r="I953" s="54"/>
      <c r="J953" s="54"/>
      <c r="K953" s="54"/>
      <c r="L953" s="54"/>
      <c r="M953" s="54"/>
      <c r="N953" s="54"/>
    </row>
    <row r="954" ht="14.25" customHeight="1">
      <c r="A954" s="54"/>
      <c r="B954" s="54"/>
      <c r="C954" s="54"/>
      <c r="D954" s="54"/>
      <c r="E954" s="54"/>
      <c r="F954" s="54"/>
      <c r="G954" s="54"/>
      <c r="H954" s="54"/>
      <c r="I954" s="54"/>
      <c r="J954" s="54"/>
      <c r="K954" s="54"/>
      <c r="L954" s="54"/>
      <c r="M954" s="54"/>
      <c r="N954" s="54"/>
    </row>
    <row r="955" ht="14.25" customHeight="1">
      <c r="A955" s="54"/>
      <c r="B955" s="54"/>
      <c r="C955" s="54"/>
      <c r="D955" s="54"/>
      <c r="E955" s="54"/>
      <c r="F955" s="54"/>
      <c r="G955" s="54"/>
      <c r="H955" s="54"/>
      <c r="I955" s="54"/>
      <c r="J955" s="54"/>
      <c r="K955" s="54"/>
      <c r="L955" s="54"/>
      <c r="M955" s="54"/>
      <c r="N955" s="54"/>
    </row>
    <row r="956" ht="14.25" customHeight="1">
      <c r="A956" s="54"/>
      <c r="B956" s="54"/>
      <c r="C956" s="54"/>
      <c r="D956" s="54"/>
      <c r="E956" s="54"/>
      <c r="F956" s="54"/>
      <c r="G956" s="54"/>
      <c r="H956" s="54"/>
      <c r="I956" s="54"/>
      <c r="J956" s="54"/>
      <c r="K956" s="54"/>
      <c r="L956" s="54"/>
      <c r="M956" s="54"/>
      <c r="N956" s="54"/>
    </row>
    <row r="957" ht="14.25" customHeight="1">
      <c r="A957" s="54"/>
      <c r="B957" s="54"/>
      <c r="C957" s="54"/>
      <c r="D957" s="54"/>
      <c r="E957" s="54"/>
      <c r="F957" s="54"/>
      <c r="G957" s="54"/>
      <c r="H957" s="54"/>
      <c r="I957" s="54"/>
      <c r="J957" s="54"/>
      <c r="K957" s="54"/>
      <c r="L957" s="54"/>
      <c r="M957" s="54"/>
      <c r="N957" s="54"/>
    </row>
    <row r="958" ht="14.25" customHeight="1">
      <c r="A958" s="54"/>
      <c r="B958" s="54"/>
      <c r="C958" s="54"/>
      <c r="D958" s="54"/>
      <c r="E958" s="54"/>
      <c r="F958" s="54"/>
      <c r="G958" s="54"/>
      <c r="H958" s="54"/>
      <c r="I958" s="54"/>
      <c r="J958" s="54"/>
      <c r="K958" s="54"/>
      <c r="L958" s="54"/>
      <c r="M958" s="54"/>
      <c r="N958" s="54"/>
    </row>
    <row r="959" ht="14.25" customHeight="1">
      <c r="A959" s="54"/>
      <c r="B959" s="54"/>
      <c r="C959" s="54"/>
      <c r="D959" s="54"/>
      <c r="E959" s="54"/>
      <c r="F959" s="54"/>
      <c r="G959" s="54"/>
      <c r="H959" s="54"/>
      <c r="I959" s="54"/>
      <c r="J959" s="54"/>
      <c r="K959" s="54"/>
      <c r="L959" s="54"/>
      <c r="M959" s="54"/>
      <c r="N959" s="54"/>
    </row>
    <row r="960" ht="14.25" customHeight="1">
      <c r="A960" s="54"/>
      <c r="B960" s="54"/>
      <c r="C960" s="54"/>
      <c r="D960" s="54"/>
      <c r="E960" s="54"/>
      <c r="F960" s="54"/>
      <c r="G960" s="54"/>
      <c r="H960" s="54"/>
      <c r="I960" s="54"/>
      <c r="J960" s="54"/>
      <c r="K960" s="54"/>
      <c r="L960" s="54"/>
      <c r="M960" s="54"/>
      <c r="N960" s="54"/>
    </row>
    <row r="961" ht="14.25" customHeight="1">
      <c r="A961" s="54"/>
      <c r="B961" s="54"/>
      <c r="C961" s="54"/>
      <c r="D961" s="54"/>
      <c r="E961" s="54"/>
      <c r="F961" s="54"/>
      <c r="G961" s="54"/>
      <c r="H961" s="54"/>
      <c r="I961" s="54"/>
      <c r="J961" s="54"/>
      <c r="K961" s="54"/>
      <c r="L961" s="54"/>
      <c r="M961" s="54"/>
      <c r="N961" s="54"/>
    </row>
    <row r="962" ht="14.25" customHeight="1">
      <c r="A962" s="54"/>
      <c r="B962" s="54"/>
      <c r="C962" s="54"/>
      <c r="D962" s="54"/>
      <c r="E962" s="54"/>
      <c r="F962" s="54"/>
      <c r="G962" s="54"/>
      <c r="H962" s="54"/>
      <c r="I962" s="54"/>
      <c r="J962" s="54"/>
      <c r="K962" s="54"/>
      <c r="L962" s="54"/>
      <c r="M962" s="54"/>
      <c r="N962" s="54"/>
    </row>
    <row r="963" ht="14.25" customHeight="1">
      <c r="A963" s="54"/>
      <c r="B963" s="54"/>
      <c r="C963" s="54"/>
      <c r="D963" s="54"/>
      <c r="E963" s="54"/>
      <c r="F963" s="54"/>
      <c r="G963" s="54"/>
      <c r="H963" s="54"/>
      <c r="I963" s="54"/>
      <c r="J963" s="54"/>
      <c r="K963" s="54"/>
      <c r="L963" s="54"/>
      <c r="M963" s="54"/>
      <c r="N963" s="54"/>
    </row>
    <row r="964" ht="14.25" customHeight="1">
      <c r="A964" s="54"/>
      <c r="B964" s="54"/>
      <c r="C964" s="54"/>
      <c r="D964" s="54"/>
      <c r="E964" s="54"/>
      <c r="F964" s="54"/>
      <c r="G964" s="54"/>
      <c r="H964" s="54"/>
      <c r="I964" s="54"/>
      <c r="J964" s="54"/>
      <c r="K964" s="54"/>
      <c r="L964" s="54"/>
      <c r="M964" s="54"/>
      <c r="N964" s="54"/>
    </row>
    <row r="965" ht="14.25" customHeight="1">
      <c r="A965" s="54"/>
      <c r="B965" s="54"/>
      <c r="C965" s="54"/>
      <c r="D965" s="54"/>
      <c r="E965" s="54"/>
      <c r="F965" s="54"/>
      <c r="G965" s="54"/>
      <c r="H965" s="54"/>
      <c r="I965" s="54"/>
      <c r="J965" s="54"/>
      <c r="K965" s="54"/>
      <c r="L965" s="54"/>
      <c r="M965" s="54"/>
      <c r="N965" s="54"/>
    </row>
    <row r="966" ht="14.25" customHeight="1">
      <c r="A966" s="54"/>
      <c r="B966" s="54"/>
      <c r="C966" s="54"/>
      <c r="D966" s="54"/>
      <c r="E966" s="54"/>
      <c r="F966" s="54"/>
      <c r="G966" s="54"/>
      <c r="H966" s="54"/>
      <c r="I966" s="54"/>
      <c r="J966" s="54"/>
      <c r="K966" s="54"/>
      <c r="L966" s="54"/>
      <c r="M966" s="54"/>
      <c r="N966" s="54"/>
    </row>
    <row r="967" ht="14.25" customHeight="1">
      <c r="A967" s="54"/>
      <c r="B967" s="54"/>
      <c r="C967" s="54"/>
      <c r="D967" s="54"/>
      <c r="E967" s="54"/>
      <c r="F967" s="54"/>
      <c r="G967" s="54"/>
      <c r="H967" s="54"/>
      <c r="I967" s="54"/>
      <c r="J967" s="54"/>
      <c r="K967" s="54"/>
      <c r="L967" s="54"/>
      <c r="M967" s="54"/>
      <c r="N967" s="54"/>
    </row>
    <row r="968" ht="14.25" customHeight="1">
      <c r="A968" s="54"/>
      <c r="B968" s="54"/>
      <c r="C968" s="54"/>
      <c r="D968" s="54"/>
      <c r="E968" s="54"/>
      <c r="F968" s="54"/>
      <c r="G968" s="54"/>
      <c r="H968" s="54"/>
      <c r="I968" s="54"/>
      <c r="J968" s="54"/>
      <c r="K968" s="54"/>
      <c r="L968" s="54"/>
      <c r="M968" s="54"/>
      <c r="N968" s="54"/>
    </row>
    <row r="969" ht="14.25" customHeight="1">
      <c r="A969" s="54"/>
      <c r="B969" s="54"/>
      <c r="C969" s="54"/>
      <c r="D969" s="54"/>
      <c r="E969" s="54"/>
      <c r="F969" s="54"/>
      <c r="G969" s="54"/>
      <c r="H969" s="54"/>
      <c r="I969" s="54"/>
      <c r="J969" s="54"/>
      <c r="K969" s="54"/>
      <c r="L969" s="54"/>
      <c r="M969" s="54"/>
      <c r="N969" s="54"/>
    </row>
    <row r="970" ht="14.25" customHeight="1">
      <c r="A970" s="54"/>
      <c r="B970" s="54"/>
      <c r="C970" s="54"/>
      <c r="D970" s="54"/>
      <c r="E970" s="54"/>
      <c r="F970" s="54"/>
      <c r="G970" s="54"/>
      <c r="H970" s="54"/>
      <c r="I970" s="54"/>
      <c r="J970" s="54"/>
      <c r="K970" s="54"/>
      <c r="L970" s="54"/>
      <c r="M970" s="54"/>
      <c r="N970" s="54"/>
    </row>
    <row r="971" ht="14.25" customHeight="1">
      <c r="A971" s="54"/>
      <c r="B971" s="54"/>
      <c r="C971" s="54"/>
      <c r="D971" s="54"/>
      <c r="E971" s="54"/>
      <c r="F971" s="54"/>
      <c r="G971" s="54"/>
      <c r="H971" s="54"/>
      <c r="I971" s="54"/>
      <c r="J971" s="54"/>
      <c r="K971" s="54"/>
      <c r="L971" s="54"/>
      <c r="M971" s="54"/>
      <c r="N971" s="54"/>
    </row>
    <row r="972" ht="14.25" customHeight="1">
      <c r="A972" s="54"/>
      <c r="B972" s="54"/>
      <c r="C972" s="54"/>
      <c r="D972" s="54"/>
      <c r="E972" s="54"/>
      <c r="F972" s="54"/>
      <c r="G972" s="54"/>
      <c r="H972" s="54"/>
      <c r="I972" s="54"/>
      <c r="J972" s="54"/>
      <c r="K972" s="54"/>
      <c r="L972" s="54"/>
      <c r="M972" s="54"/>
      <c r="N972" s="54"/>
    </row>
    <row r="973" ht="14.25" customHeight="1">
      <c r="A973" s="54"/>
      <c r="B973" s="54"/>
      <c r="C973" s="54"/>
      <c r="D973" s="54"/>
      <c r="E973" s="54"/>
      <c r="F973" s="54"/>
      <c r="G973" s="54"/>
      <c r="H973" s="54"/>
      <c r="I973" s="54"/>
      <c r="J973" s="54"/>
      <c r="K973" s="54"/>
      <c r="L973" s="54"/>
      <c r="M973" s="54"/>
      <c r="N973" s="54"/>
    </row>
    <row r="974" ht="14.25" customHeight="1">
      <c r="A974" s="54"/>
      <c r="B974" s="54"/>
      <c r="C974" s="54"/>
      <c r="D974" s="54"/>
      <c r="E974" s="54"/>
      <c r="F974" s="54"/>
      <c r="G974" s="54"/>
      <c r="H974" s="54"/>
      <c r="I974" s="54"/>
      <c r="J974" s="54"/>
      <c r="K974" s="54"/>
      <c r="L974" s="54"/>
      <c r="M974" s="54"/>
      <c r="N974" s="54"/>
    </row>
    <row r="975" ht="14.25" customHeight="1">
      <c r="A975" s="54"/>
      <c r="B975" s="54"/>
      <c r="C975" s="54"/>
      <c r="D975" s="54"/>
      <c r="E975" s="54"/>
      <c r="F975" s="54"/>
      <c r="G975" s="54"/>
      <c r="H975" s="54"/>
      <c r="I975" s="54"/>
      <c r="J975" s="54"/>
      <c r="K975" s="54"/>
      <c r="L975" s="54"/>
      <c r="M975" s="54"/>
      <c r="N975" s="54"/>
    </row>
    <row r="976" ht="14.25" customHeight="1">
      <c r="A976" s="54"/>
      <c r="B976" s="54"/>
      <c r="C976" s="54"/>
      <c r="D976" s="54"/>
      <c r="E976" s="54"/>
      <c r="F976" s="54"/>
      <c r="G976" s="54"/>
      <c r="H976" s="54"/>
      <c r="I976" s="54"/>
      <c r="J976" s="54"/>
      <c r="K976" s="54"/>
      <c r="L976" s="54"/>
      <c r="M976" s="54"/>
      <c r="N976" s="54"/>
    </row>
    <row r="977" ht="14.25" customHeight="1">
      <c r="A977" s="54"/>
      <c r="B977" s="54"/>
      <c r="C977" s="54"/>
      <c r="D977" s="54"/>
      <c r="E977" s="54"/>
      <c r="F977" s="54"/>
      <c r="G977" s="54"/>
      <c r="H977" s="54"/>
      <c r="I977" s="54"/>
      <c r="J977" s="54"/>
      <c r="K977" s="54"/>
      <c r="L977" s="54"/>
      <c r="M977" s="54"/>
      <c r="N977" s="54"/>
    </row>
    <row r="978" ht="14.25" customHeight="1">
      <c r="A978" s="54"/>
      <c r="B978" s="54"/>
      <c r="C978" s="54"/>
      <c r="D978" s="54"/>
      <c r="E978" s="54"/>
      <c r="F978" s="54"/>
      <c r="G978" s="54"/>
      <c r="H978" s="54"/>
      <c r="I978" s="54"/>
      <c r="J978" s="54"/>
      <c r="K978" s="54"/>
      <c r="L978" s="54"/>
      <c r="M978" s="54"/>
      <c r="N978" s="54"/>
    </row>
    <row r="979" ht="14.25" customHeight="1">
      <c r="A979" s="54"/>
      <c r="B979" s="54"/>
      <c r="C979" s="54"/>
      <c r="D979" s="54"/>
      <c r="E979" s="54"/>
      <c r="F979" s="54"/>
      <c r="G979" s="54"/>
      <c r="H979" s="54"/>
      <c r="I979" s="54"/>
      <c r="J979" s="54"/>
      <c r="K979" s="54"/>
      <c r="L979" s="54"/>
      <c r="M979" s="54"/>
      <c r="N979" s="54"/>
    </row>
    <row r="980" ht="14.25" customHeight="1">
      <c r="A980" s="54"/>
      <c r="B980" s="54"/>
      <c r="C980" s="54"/>
      <c r="D980" s="54"/>
      <c r="E980" s="54"/>
      <c r="F980" s="54"/>
      <c r="G980" s="54"/>
      <c r="H980" s="54"/>
      <c r="I980" s="54"/>
      <c r="J980" s="54"/>
      <c r="K980" s="54"/>
      <c r="L980" s="54"/>
      <c r="M980" s="54"/>
      <c r="N980" s="54"/>
    </row>
    <row r="981" ht="14.25" customHeight="1">
      <c r="A981" s="54"/>
      <c r="B981" s="54"/>
      <c r="C981" s="54"/>
      <c r="D981" s="54"/>
      <c r="E981" s="54"/>
      <c r="F981" s="54"/>
      <c r="G981" s="54"/>
      <c r="H981" s="54"/>
      <c r="I981" s="54"/>
      <c r="J981" s="54"/>
      <c r="K981" s="54"/>
      <c r="L981" s="54"/>
      <c r="M981" s="54"/>
      <c r="N981" s="54"/>
    </row>
    <row r="982" ht="14.25" customHeight="1">
      <c r="A982" s="54"/>
      <c r="B982" s="54"/>
      <c r="C982" s="54"/>
      <c r="D982" s="54"/>
      <c r="E982" s="54"/>
      <c r="F982" s="54"/>
      <c r="G982" s="54"/>
      <c r="H982" s="54"/>
      <c r="I982" s="54"/>
      <c r="J982" s="54"/>
      <c r="K982" s="54"/>
      <c r="L982" s="54"/>
      <c r="M982" s="54"/>
      <c r="N982" s="54"/>
    </row>
    <row r="983" ht="14.25" customHeight="1">
      <c r="A983" s="54"/>
      <c r="B983" s="54"/>
      <c r="C983" s="54"/>
      <c r="D983" s="54"/>
      <c r="E983" s="54"/>
      <c r="F983" s="54"/>
      <c r="G983" s="54"/>
      <c r="H983" s="54"/>
      <c r="I983" s="54"/>
      <c r="J983" s="54"/>
      <c r="K983" s="54"/>
      <c r="L983" s="54"/>
      <c r="M983" s="54"/>
      <c r="N983" s="54"/>
    </row>
    <row r="984" ht="14.25" customHeight="1">
      <c r="A984" s="54"/>
      <c r="B984" s="54"/>
      <c r="C984" s="54"/>
      <c r="D984" s="54"/>
      <c r="E984" s="54"/>
      <c r="F984" s="54"/>
      <c r="G984" s="54"/>
      <c r="H984" s="54"/>
      <c r="I984" s="54"/>
      <c r="J984" s="54"/>
      <c r="K984" s="54"/>
      <c r="L984" s="54"/>
      <c r="M984" s="54"/>
      <c r="N984" s="54"/>
    </row>
    <row r="985" ht="14.25" customHeight="1">
      <c r="A985" s="54"/>
      <c r="B985" s="54"/>
      <c r="C985" s="54"/>
      <c r="D985" s="54"/>
      <c r="E985" s="54"/>
      <c r="F985" s="54"/>
      <c r="G985" s="54"/>
      <c r="H985" s="54"/>
      <c r="I985" s="54"/>
      <c r="J985" s="54"/>
      <c r="K985" s="54"/>
      <c r="L985" s="54"/>
      <c r="M985" s="54"/>
      <c r="N985" s="54"/>
    </row>
    <row r="986" ht="14.25" customHeight="1">
      <c r="A986" s="54"/>
      <c r="B986" s="54"/>
      <c r="C986" s="54"/>
      <c r="D986" s="54"/>
      <c r="E986" s="54"/>
      <c r="F986" s="54"/>
      <c r="G986" s="54"/>
      <c r="H986" s="54"/>
      <c r="I986" s="54"/>
      <c r="J986" s="54"/>
      <c r="K986" s="54"/>
      <c r="L986" s="54"/>
      <c r="M986" s="54"/>
      <c r="N986" s="54"/>
    </row>
    <row r="987" ht="14.25" customHeight="1">
      <c r="A987" s="54"/>
      <c r="B987" s="54"/>
      <c r="C987" s="54"/>
      <c r="D987" s="54"/>
      <c r="E987" s="54"/>
      <c r="F987" s="54"/>
      <c r="G987" s="54"/>
      <c r="H987" s="54"/>
      <c r="I987" s="54"/>
      <c r="J987" s="54"/>
      <c r="K987" s="54"/>
      <c r="L987" s="54"/>
      <c r="M987" s="54"/>
      <c r="N987" s="54"/>
    </row>
    <row r="988" ht="14.25" customHeight="1">
      <c r="A988" s="54"/>
      <c r="B988" s="54"/>
      <c r="C988" s="54"/>
      <c r="D988" s="54"/>
      <c r="E988" s="54"/>
      <c r="F988" s="54"/>
      <c r="G988" s="54"/>
      <c r="H988" s="54"/>
      <c r="I988" s="54"/>
      <c r="J988" s="54"/>
      <c r="K988" s="54"/>
      <c r="L988" s="54"/>
      <c r="M988" s="54"/>
      <c r="N988" s="54"/>
    </row>
    <row r="989" ht="14.25" customHeight="1">
      <c r="A989" s="54"/>
      <c r="B989" s="54"/>
      <c r="C989" s="54"/>
      <c r="D989" s="54"/>
      <c r="E989" s="54"/>
      <c r="F989" s="54"/>
      <c r="G989" s="54"/>
      <c r="H989" s="54"/>
      <c r="I989" s="54"/>
      <c r="J989" s="54"/>
      <c r="K989" s="54"/>
      <c r="L989" s="54"/>
      <c r="M989" s="54"/>
      <c r="N989" s="54"/>
    </row>
    <row r="990" ht="14.25" customHeight="1">
      <c r="A990" s="54"/>
      <c r="B990" s="54"/>
      <c r="C990" s="54"/>
      <c r="D990" s="54"/>
      <c r="E990" s="54"/>
      <c r="F990" s="54"/>
      <c r="G990" s="54"/>
      <c r="H990" s="54"/>
      <c r="I990" s="54"/>
      <c r="J990" s="54"/>
      <c r="K990" s="54"/>
      <c r="L990" s="54"/>
      <c r="M990" s="54"/>
      <c r="N990" s="54"/>
    </row>
    <row r="991" ht="14.25" customHeight="1">
      <c r="A991" s="54"/>
      <c r="B991" s="54"/>
      <c r="C991" s="54"/>
      <c r="D991" s="54"/>
      <c r="E991" s="54"/>
      <c r="F991" s="54"/>
      <c r="G991" s="54"/>
      <c r="H991" s="54"/>
      <c r="I991" s="54"/>
      <c r="J991" s="54"/>
      <c r="K991" s="54"/>
      <c r="L991" s="54"/>
      <c r="M991" s="54"/>
      <c r="N991" s="54"/>
    </row>
    <row r="992" ht="14.25" customHeight="1">
      <c r="A992" s="54"/>
      <c r="B992" s="54"/>
      <c r="C992" s="54"/>
      <c r="D992" s="54"/>
      <c r="E992" s="54"/>
      <c r="F992" s="54"/>
      <c r="G992" s="54"/>
      <c r="H992" s="54"/>
      <c r="I992" s="54"/>
      <c r="J992" s="54"/>
      <c r="K992" s="54"/>
      <c r="L992" s="54"/>
      <c r="M992" s="54"/>
      <c r="N992" s="54"/>
    </row>
    <row r="993" ht="14.25" customHeight="1">
      <c r="A993" s="54"/>
      <c r="B993" s="54"/>
      <c r="C993" s="54"/>
      <c r="D993" s="54"/>
      <c r="E993" s="54"/>
      <c r="F993" s="54"/>
      <c r="G993" s="54"/>
      <c r="H993" s="54"/>
      <c r="I993" s="54"/>
      <c r="J993" s="54"/>
      <c r="K993" s="54"/>
      <c r="L993" s="54"/>
      <c r="M993" s="54"/>
      <c r="N993" s="54"/>
    </row>
  </sheetData>
  <mergeCells count="2">
    <mergeCell ref="A1:G1"/>
    <mergeCell ref="A2:G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8.25"/>
    <col customWidth="1" min="2" max="2" width="10.75"/>
    <col customWidth="1" min="3" max="3" width="11.25"/>
    <col customWidth="1" min="4" max="4" width="10.75"/>
    <col customWidth="1" min="5" max="5" width="11.25"/>
    <col customWidth="1" min="6" max="6" width="10.75"/>
    <col customWidth="1" min="7" max="7" width="11.25"/>
    <col customWidth="1" min="8" max="13" width="10.25"/>
    <col customWidth="1" min="14" max="14" width="11.13"/>
    <col customWidth="1" min="15" max="15" width="26.88"/>
    <col customWidth="1" min="16" max="26" width="8.63"/>
  </cols>
  <sheetData>
    <row r="1" ht="14.25" customHeight="1">
      <c r="A1" s="121" t="s">
        <v>22</v>
      </c>
      <c r="B1" s="122" t="s">
        <v>91</v>
      </c>
      <c r="C1" s="123"/>
      <c r="D1" s="123"/>
      <c r="E1" s="123"/>
      <c r="F1" s="123"/>
      <c r="G1" s="123"/>
      <c r="H1" s="123"/>
      <c r="I1" s="123"/>
      <c r="J1" s="123"/>
      <c r="K1" s="123"/>
      <c r="L1" s="123"/>
      <c r="M1" s="124"/>
      <c r="N1" s="125" t="s">
        <v>38</v>
      </c>
    </row>
    <row r="2" ht="14.25" customHeight="1">
      <c r="A2" s="126" t="s">
        <v>54</v>
      </c>
      <c r="B2" s="127" t="s">
        <v>92</v>
      </c>
      <c r="C2" s="128" t="s">
        <v>93</v>
      </c>
      <c r="D2" s="128" t="s">
        <v>94</v>
      </c>
      <c r="E2" s="128" t="s">
        <v>95</v>
      </c>
      <c r="F2" s="128" t="s">
        <v>96</v>
      </c>
      <c r="G2" s="129" t="s">
        <v>97</v>
      </c>
      <c r="H2" s="129" t="s">
        <v>98</v>
      </c>
      <c r="I2" s="129" t="s">
        <v>99</v>
      </c>
      <c r="J2" s="130" t="s">
        <v>100</v>
      </c>
      <c r="K2" s="130" t="s">
        <v>101</v>
      </c>
      <c r="L2" s="130" t="s">
        <v>102</v>
      </c>
      <c r="M2" s="130" t="s">
        <v>103</v>
      </c>
      <c r="N2" s="131"/>
    </row>
    <row r="3" ht="14.25" customHeight="1">
      <c r="A3" s="132" t="s">
        <v>80</v>
      </c>
      <c r="B3" s="133">
        <f t="shared" ref="B3:M3" si="1">SUM(B4:B10)</f>
        <v>13104</v>
      </c>
      <c r="C3" s="133">
        <f t="shared" si="1"/>
        <v>43643</v>
      </c>
      <c r="D3" s="133">
        <f t="shared" si="1"/>
        <v>91673</v>
      </c>
      <c r="E3" s="133">
        <f t="shared" si="1"/>
        <v>33801</v>
      </c>
      <c r="F3" s="133">
        <f t="shared" si="1"/>
        <v>26363</v>
      </c>
      <c r="G3" s="133">
        <f t="shared" si="1"/>
        <v>33402</v>
      </c>
      <c r="H3" s="133">
        <f t="shared" si="1"/>
        <v>75548.72</v>
      </c>
      <c r="I3" s="133">
        <f t="shared" si="1"/>
        <v>44779</v>
      </c>
      <c r="J3" s="133">
        <f t="shared" si="1"/>
        <v>45355</v>
      </c>
      <c r="K3" s="133">
        <f t="shared" si="1"/>
        <v>126152</v>
      </c>
      <c r="L3" s="133">
        <f t="shared" si="1"/>
        <v>138767.2</v>
      </c>
      <c r="M3" s="133">
        <f t="shared" si="1"/>
        <v>152643.92</v>
      </c>
      <c r="N3" s="134">
        <f>SUM(B3:M3)</f>
        <v>825231.84</v>
      </c>
    </row>
    <row r="4" ht="14.25" customHeight="1">
      <c r="A4" s="135" t="s">
        <v>104</v>
      </c>
      <c r="B4" s="136">
        <v>1210.0</v>
      </c>
      <c r="C4" s="137"/>
      <c r="D4" s="137"/>
      <c r="E4" s="137"/>
      <c r="F4" s="137"/>
      <c r="G4" s="138"/>
      <c r="H4" s="136">
        <v>530.0</v>
      </c>
      <c r="I4" s="137"/>
      <c r="J4" s="137"/>
      <c r="K4" s="137"/>
      <c r="L4" s="137">
        <f t="shared" ref="L4:M4" si="2">K4*1.1</f>
        <v>0</v>
      </c>
      <c r="M4" s="137">
        <f t="shared" si="2"/>
        <v>0</v>
      </c>
      <c r="N4" s="139"/>
    </row>
    <row r="5" ht="14.25" customHeight="1">
      <c r="A5" s="135" t="s">
        <v>105</v>
      </c>
      <c r="B5" s="136">
        <v>300.0</v>
      </c>
      <c r="C5" s="140">
        <v>14097.0</v>
      </c>
      <c r="D5" s="140">
        <v>11018.0</v>
      </c>
      <c r="E5" s="140">
        <v>3180.0</v>
      </c>
      <c r="F5" s="140">
        <v>5868.0</v>
      </c>
      <c r="G5" s="141">
        <v>3017.0</v>
      </c>
      <c r="H5" s="136">
        <v>17264.0</v>
      </c>
      <c r="I5" s="140">
        <v>2296.0</v>
      </c>
      <c r="J5" s="140">
        <v>8719.0</v>
      </c>
      <c r="K5" s="140">
        <v>2807.0</v>
      </c>
      <c r="L5" s="137">
        <f t="shared" ref="L5:M5" si="3">K5*1.1</f>
        <v>3087.7</v>
      </c>
      <c r="M5" s="137">
        <f t="shared" si="3"/>
        <v>3396.47</v>
      </c>
      <c r="N5" s="139"/>
    </row>
    <row r="6" ht="14.25" customHeight="1">
      <c r="A6" s="135" t="s">
        <v>106</v>
      </c>
      <c r="B6" s="142"/>
      <c r="C6" s="137"/>
      <c r="D6" s="140">
        <v>1316.0</v>
      </c>
      <c r="E6" s="140">
        <v>531.0</v>
      </c>
      <c r="F6" s="137"/>
      <c r="G6" s="138"/>
      <c r="H6" s="136">
        <v>1133.0</v>
      </c>
      <c r="I6" s="137"/>
      <c r="J6" s="137"/>
      <c r="K6" s="137"/>
      <c r="L6" s="137">
        <f t="shared" ref="L6:M6" si="4">K6*1.1</f>
        <v>0</v>
      </c>
      <c r="M6" s="137">
        <f t="shared" si="4"/>
        <v>0</v>
      </c>
      <c r="N6" s="139"/>
    </row>
    <row r="7" ht="14.25" customHeight="1">
      <c r="A7" s="135" t="s">
        <v>107</v>
      </c>
      <c r="B7" s="136">
        <v>1046.0</v>
      </c>
      <c r="C7" s="140">
        <v>1377.0</v>
      </c>
      <c r="D7" s="140">
        <v>1559.0</v>
      </c>
      <c r="E7" s="140">
        <v>1487.0</v>
      </c>
      <c r="F7" s="140">
        <v>1487.0</v>
      </c>
      <c r="G7" s="141">
        <v>1369.0</v>
      </c>
      <c r="H7" s="136">
        <v>2856.0</v>
      </c>
      <c r="I7" s="137"/>
      <c r="J7" s="140">
        <v>2738.0</v>
      </c>
      <c r="K7" s="140">
        <v>9500.0</v>
      </c>
      <c r="L7" s="137">
        <f t="shared" ref="L7:M7" si="5">K7*1.1</f>
        <v>10450</v>
      </c>
      <c r="M7" s="137">
        <f t="shared" si="5"/>
        <v>11495</v>
      </c>
      <c r="N7" s="139"/>
    </row>
    <row r="8" ht="14.25" customHeight="1">
      <c r="A8" s="135" t="s">
        <v>108</v>
      </c>
      <c r="B8" s="136">
        <v>9784.0</v>
      </c>
      <c r="C8" s="140">
        <v>24799.0</v>
      </c>
      <c r="D8" s="140">
        <v>75338.0</v>
      </c>
      <c r="E8" s="140">
        <v>28202.0</v>
      </c>
      <c r="F8" s="140">
        <v>18028.0</v>
      </c>
      <c r="G8" s="141">
        <v>27386.0</v>
      </c>
      <c r="H8" s="136">
        <v>52965.0</v>
      </c>
      <c r="I8" s="140">
        <v>38542.0</v>
      </c>
      <c r="J8" s="140">
        <v>32250.0</v>
      </c>
      <c r="K8" s="140">
        <v>111921.0</v>
      </c>
      <c r="L8" s="137">
        <f t="shared" ref="L8:M8" si="6">K8*1.1</f>
        <v>123113.1</v>
      </c>
      <c r="M8" s="137">
        <f t="shared" si="6"/>
        <v>135424.41</v>
      </c>
      <c r="N8" s="139"/>
    </row>
    <row r="9" ht="14.25" customHeight="1">
      <c r="A9" s="135" t="s">
        <v>109</v>
      </c>
      <c r="B9" s="136">
        <v>764.0</v>
      </c>
      <c r="C9" s="140">
        <v>3370.0</v>
      </c>
      <c r="D9" s="140">
        <v>2442.0</v>
      </c>
      <c r="E9" s="140">
        <v>401.0</v>
      </c>
      <c r="F9" s="140">
        <v>980.0</v>
      </c>
      <c r="G9" s="141">
        <v>1630.0</v>
      </c>
      <c r="H9" s="136">
        <v>800.72</v>
      </c>
      <c r="I9" s="140">
        <v>3941.0</v>
      </c>
      <c r="J9" s="140">
        <v>1648.0</v>
      </c>
      <c r="K9" s="140">
        <v>1924.0</v>
      </c>
      <c r="L9" s="137">
        <f t="shared" ref="L9:M9" si="7">K9*1.1</f>
        <v>2116.4</v>
      </c>
      <c r="M9" s="137">
        <f t="shared" si="7"/>
        <v>2328.04</v>
      </c>
      <c r="N9" s="139"/>
    </row>
    <row r="10" ht="14.25" customHeight="1">
      <c r="A10" s="143"/>
      <c r="B10" s="142"/>
      <c r="C10" s="137"/>
      <c r="D10" s="137"/>
      <c r="E10" s="137"/>
      <c r="F10" s="137"/>
      <c r="G10" s="138"/>
      <c r="H10" s="142"/>
      <c r="I10" s="137"/>
      <c r="J10" s="137"/>
      <c r="K10" s="137"/>
      <c r="L10" s="137">
        <f t="shared" ref="L10:M10" si="8">K10*1.1</f>
        <v>0</v>
      </c>
      <c r="M10" s="137">
        <f t="shared" si="8"/>
        <v>0</v>
      </c>
      <c r="N10" s="139"/>
    </row>
    <row r="11" ht="14.25" customHeight="1">
      <c r="A11" s="144" t="s">
        <v>25</v>
      </c>
      <c r="B11" s="133">
        <f t="shared" ref="B11:M11" si="9">SUM(B12:B14)</f>
        <v>561.6</v>
      </c>
      <c r="C11" s="133">
        <f t="shared" si="9"/>
        <v>449.5</v>
      </c>
      <c r="D11" s="133">
        <f t="shared" si="9"/>
        <v>455.4</v>
      </c>
      <c r="E11" s="133">
        <f t="shared" si="9"/>
        <v>597</v>
      </c>
      <c r="F11" s="133">
        <f t="shared" si="9"/>
        <v>1719.7</v>
      </c>
      <c r="G11" s="133">
        <f t="shared" si="9"/>
        <v>779.9</v>
      </c>
      <c r="H11" s="133">
        <f t="shared" si="9"/>
        <v>691.4</v>
      </c>
      <c r="I11" s="133">
        <f t="shared" si="9"/>
        <v>791.7</v>
      </c>
      <c r="J11" s="133">
        <f t="shared" si="9"/>
        <v>821.2</v>
      </c>
      <c r="K11" s="133">
        <f t="shared" si="9"/>
        <v>792</v>
      </c>
      <c r="L11" s="133">
        <f t="shared" si="9"/>
        <v>871.2</v>
      </c>
      <c r="M11" s="133">
        <f t="shared" si="9"/>
        <v>958.32</v>
      </c>
      <c r="N11" s="134">
        <f>SUM(B11:M11)</f>
        <v>9488.92</v>
      </c>
    </row>
    <row r="12" ht="14.25" customHeight="1">
      <c r="A12" s="135" t="s">
        <v>110</v>
      </c>
      <c r="B12" s="145">
        <v>123.9</v>
      </c>
      <c r="C12" s="140">
        <v>11.8</v>
      </c>
      <c r="D12" s="140">
        <v>17.7</v>
      </c>
      <c r="E12" s="140">
        <v>159.3</v>
      </c>
      <c r="F12" s="140">
        <v>1282.0</v>
      </c>
      <c r="G12" s="141">
        <v>342.2</v>
      </c>
      <c r="H12" s="136">
        <v>253.7</v>
      </c>
      <c r="I12" s="140">
        <v>354.0</v>
      </c>
      <c r="J12" s="140">
        <f>354+29.5</f>
        <v>383.5</v>
      </c>
      <c r="K12" s="140">
        <v>354.0</v>
      </c>
      <c r="L12" s="137">
        <f t="shared" ref="L12:M12" si="10">K12*1.1</f>
        <v>389.4</v>
      </c>
      <c r="M12" s="137">
        <f t="shared" si="10"/>
        <v>428.34</v>
      </c>
      <c r="N12" s="139"/>
    </row>
    <row r="13" ht="14.25" customHeight="1">
      <c r="A13" s="135" t="s">
        <v>111</v>
      </c>
      <c r="B13" s="146">
        <v>437.7</v>
      </c>
      <c r="C13" s="140">
        <v>437.7</v>
      </c>
      <c r="D13" s="140">
        <v>437.7</v>
      </c>
      <c r="E13" s="140">
        <v>437.7</v>
      </c>
      <c r="F13" s="140">
        <v>437.7</v>
      </c>
      <c r="G13" s="141">
        <v>437.7</v>
      </c>
      <c r="H13" s="136">
        <v>437.7</v>
      </c>
      <c r="I13" s="140">
        <v>437.7</v>
      </c>
      <c r="J13" s="140">
        <v>437.7</v>
      </c>
      <c r="K13" s="140">
        <v>438.0</v>
      </c>
      <c r="L13" s="137">
        <f t="shared" ref="L13:M13" si="11">K13*1.1</f>
        <v>481.8</v>
      </c>
      <c r="M13" s="137">
        <f t="shared" si="11"/>
        <v>529.98</v>
      </c>
      <c r="N13" s="139"/>
    </row>
    <row r="14" ht="14.25" customHeight="1">
      <c r="A14" s="143"/>
      <c r="B14" s="142"/>
      <c r="C14" s="137"/>
      <c r="D14" s="137"/>
      <c r="E14" s="137"/>
      <c r="F14" s="137"/>
      <c r="G14" s="138"/>
      <c r="H14" s="142"/>
      <c r="I14" s="137"/>
      <c r="J14" s="137"/>
      <c r="K14" s="137"/>
      <c r="L14" s="137">
        <f t="shared" ref="L14:M14" si="12">K14*1.1</f>
        <v>0</v>
      </c>
      <c r="M14" s="137">
        <f t="shared" si="12"/>
        <v>0</v>
      </c>
      <c r="N14" s="139"/>
    </row>
    <row r="15" ht="14.25" customHeight="1">
      <c r="A15" s="144" t="s">
        <v>112</v>
      </c>
      <c r="B15" s="133">
        <f t="shared" ref="B15:M15" si="13">SUM(B16:B21)</f>
        <v>315569</v>
      </c>
      <c r="C15" s="133">
        <f t="shared" si="13"/>
        <v>333814</v>
      </c>
      <c r="D15" s="133">
        <f t="shared" si="13"/>
        <v>284197</v>
      </c>
      <c r="E15" s="133">
        <f t="shared" si="13"/>
        <v>313931</v>
      </c>
      <c r="F15" s="133">
        <f t="shared" si="13"/>
        <v>329926</v>
      </c>
      <c r="G15" s="133">
        <f t="shared" si="13"/>
        <v>353303</v>
      </c>
      <c r="H15" s="133">
        <f t="shared" si="13"/>
        <v>356918</v>
      </c>
      <c r="I15" s="133">
        <f t="shared" si="13"/>
        <v>371259</v>
      </c>
      <c r="J15" s="133">
        <f t="shared" si="13"/>
        <v>386831</v>
      </c>
      <c r="K15" s="133">
        <f t="shared" si="13"/>
        <v>313503</v>
      </c>
      <c r="L15" s="133">
        <f t="shared" si="13"/>
        <v>344853.3</v>
      </c>
      <c r="M15" s="133">
        <f t="shared" si="13"/>
        <v>379338.63</v>
      </c>
      <c r="N15" s="134">
        <f>SUM(B15:M15)</f>
        <v>4083442.93</v>
      </c>
    </row>
    <row r="16" ht="14.25" customHeight="1">
      <c r="A16" s="135" t="s">
        <v>113</v>
      </c>
      <c r="B16" s="136">
        <v>280600.0</v>
      </c>
      <c r="C16" s="140">
        <v>293800.0</v>
      </c>
      <c r="D16" s="140">
        <v>256000.0</v>
      </c>
      <c r="E16" s="140">
        <v>276246.0</v>
      </c>
      <c r="F16" s="140">
        <v>292632.0</v>
      </c>
      <c r="G16" s="141">
        <v>306914.0</v>
      </c>
      <c r="H16" s="136">
        <v>299787.0</v>
      </c>
      <c r="I16" s="140">
        <v>299654.0</v>
      </c>
      <c r="J16" s="140">
        <v>291074.0</v>
      </c>
      <c r="K16" s="140">
        <v>256877.0</v>
      </c>
      <c r="L16" s="137">
        <f t="shared" ref="L16:M16" si="14">K16*1.1</f>
        <v>282564.7</v>
      </c>
      <c r="M16" s="137">
        <f t="shared" si="14"/>
        <v>310821.17</v>
      </c>
      <c r="N16" s="139"/>
    </row>
    <row r="17" ht="14.25" customHeight="1">
      <c r="A17" s="135" t="s">
        <v>114</v>
      </c>
      <c r="B17" s="136">
        <v>34969.0</v>
      </c>
      <c r="C17" s="140">
        <v>40014.0</v>
      </c>
      <c r="D17" s="140">
        <v>28197.0</v>
      </c>
      <c r="E17" s="140">
        <v>37685.0</v>
      </c>
      <c r="F17" s="140">
        <v>37294.0</v>
      </c>
      <c r="G17" s="141">
        <v>41954.0</v>
      </c>
      <c r="H17" s="136">
        <v>57131.0</v>
      </c>
      <c r="I17" s="140">
        <v>70195.0</v>
      </c>
      <c r="J17" s="140">
        <v>80757.0</v>
      </c>
      <c r="K17" s="140">
        <v>45497.0</v>
      </c>
      <c r="L17" s="137">
        <f t="shared" ref="L17:M17" si="15">K17*1.1</f>
        <v>50046.7</v>
      </c>
      <c r="M17" s="137">
        <f t="shared" si="15"/>
        <v>55051.37</v>
      </c>
      <c r="N17" s="139"/>
    </row>
    <row r="18" ht="14.25" customHeight="1">
      <c r="A18" s="135" t="s">
        <v>115</v>
      </c>
      <c r="B18" s="142"/>
      <c r="C18" s="137"/>
      <c r="D18" s="137"/>
      <c r="E18" s="137"/>
      <c r="F18" s="137"/>
      <c r="G18" s="138"/>
      <c r="H18" s="142"/>
      <c r="I18" s="137"/>
      <c r="J18" s="137"/>
      <c r="K18" s="137"/>
      <c r="L18" s="137">
        <f t="shared" ref="L18:M18" si="16">K18*1.1</f>
        <v>0</v>
      </c>
      <c r="M18" s="137">
        <f t="shared" si="16"/>
        <v>0</v>
      </c>
      <c r="N18" s="139"/>
    </row>
    <row r="19" ht="14.25" customHeight="1">
      <c r="A19" s="135" t="s">
        <v>116</v>
      </c>
      <c r="B19" s="142"/>
      <c r="C19" s="137"/>
      <c r="D19" s="137"/>
      <c r="E19" s="137"/>
      <c r="F19" s="137"/>
      <c r="G19" s="141">
        <v>4435.0</v>
      </c>
      <c r="H19" s="142"/>
      <c r="I19" s="140">
        <v>1410.0</v>
      </c>
      <c r="J19" s="137"/>
      <c r="K19" s="137"/>
      <c r="L19" s="137">
        <f t="shared" ref="L19:M19" si="17">K19*1.1</f>
        <v>0</v>
      </c>
      <c r="M19" s="137">
        <f t="shared" si="17"/>
        <v>0</v>
      </c>
      <c r="N19" s="139"/>
    </row>
    <row r="20" ht="14.25" customHeight="1">
      <c r="A20" s="143" t="s">
        <v>117</v>
      </c>
      <c r="B20" s="142"/>
      <c r="C20" s="137"/>
      <c r="D20" s="137"/>
      <c r="E20" s="137"/>
      <c r="F20" s="137"/>
      <c r="G20" s="138"/>
      <c r="H20" s="142"/>
      <c r="I20" s="137"/>
      <c r="J20" s="140">
        <v>15000.0</v>
      </c>
      <c r="K20" s="140">
        <v>11129.0</v>
      </c>
      <c r="L20" s="137">
        <f t="shared" ref="L20:M20" si="18">K20*1.1</f>
        <v>12241.9</v>
      </c>
      <c r="M20" s="137">
        <f t="shared" si="18"/>
        <v>13466.09</v>
      </c>
      <c r="N20" s="139"/>
    </row>
    <row r="21" ht="14.25" customHeight="1">
      <c r="A21" s="143"/>
      <c r="B21" s="142"/>
      <c r="C21" s="137"/>
      <c r="D21" s="137"/>
      <c r="E21" s="137"/>
      <c r="F21" s="137"/>
      <c r="G21" s="138"/>
      <c r="H21" s="142"/>
      <c r="I21" s="137"/>
      <c r="J21" s="137"/>
      <c r="K21" s="137"/>
      <c r="L21" s="137">
        <f t="shared" ref="L21:M21" si="19">K21*1.1</f>
        <v>0</v>
      </c>
      <c r="M21" s="137">
        <f t="shared" si="19"/>
        <v>0</v>
      </c>
      <c r="N21" s="139"/>
    </row>
    <row r="22" ht="14.25" customHeight="1">
      <c r="A22" s="144" t="s">
        <v>118</v>
      </c>
      <c r="B22" s="133">
        <f t="shared" ref="B22:M22" si="20">B23+B24</f>
        <v>8054</v>
      </c>
      <c r="C22" s="147">
        <f t="shared" si="20"/>
        <v>14232</v>
      </c>
      <c r="D22" s="147">
        <f t="shared" si="20"/>
        <v>5015</v>
      </c>
      <c r="E22" s="147">
        <f t="shared" si="20"/>
        <v>11016</v>
      </c>
      <c r="F22" s="147">
        <f t="shared" si="20"/>
        <v>5000</v>
      </c>
      <c r="G22" s="148">
        <f t="shared" si="20"/>
        <v>5000</v>
      </c>
      <c r="H22" s="133">
        <f t="shared" si="20"/>
        <v>8070</v>
      </c>
      <c r="I22" s="147">
        <f t="shared" si="20"/>
        <v>0</v>
      </c>
      <c r="J22" s="147">
        <f t="shared" si="20"/>
        <v>2500</v>
      </c>
      <c r="K22" s="147">
        <f t="shared" si="20"/>
        <v>4000</v>
      </c>
      <c r="L22" s="147">
        <f t="shared" si="20"/>
        <v>4400</v>
      </c>
      <c r="M22" s="148">
        <f t="shared" si="20"/>
        <v>4840</v>
      </c>
      <c r="N22" s="134">
        <f>SUM(B22:M22)</f>
        <v>72127</v>
      </c>
    </row>
    <row r="23" ht="14.25" customHeight="1">
      <c r="A23" s="135" t="s">
        <v>119</v>
      </c>
      <c r="B23" s="149">
        <v>8054.0</v>
      </c>
      <c r="C23" s="150">
        <v>14232.0</v>
      </c>
      <c r="D23" s="150">
        <v>5015.0</v>
      </c>
      <c r="E23" s="150">
        <v>11016.0</v>
      </c>
      <c r="F23" s="150">
        <v>5000.0</v>
      </c>
      <c r="G23" s="151">
        <v>5000.0</v>
      </c>
      <c r="H23" s="149">
        <v>8070.0</v>
      </c>
      <c r="I23" s="152"/>
      <c r="J23" s="150">
        <v>2500.0</v>
      </c>
      <c r="K23" s="150">
        <v>4000.0</v>
      </c>
      <c r="L23" s="137">
        <f t="shared" ref="L23:M23" si="21">K23*1.1</f>
        <v>4400</v>
      </c>
      <c r="M23" s="137">
        <f t="shared" si="21"/>
        <v>4840</v>
      </c>
      <c r="N23" s="153"/>
    </row>
    <row r="24" ht="14.25" customHeight="1">
      <c r="A24" s="135" t="s">
        <v>120</v>
      </c>
      <c r="B24" s="142"/>
      <c r="C24" s="137"/>
      <c r="D24" s="137"/>
      <c r="E24" s="137"/>
      <c r="F24" s="137"/>
      <c r="G24" s="138"/>
      <c r="H24" s="142"/>
      <c r="I24" s="137"/>
      <c r="J24" s="137"/>
      <c r="K24" s="137"/>
      <c r="L24" s="137">
        <f t="shared" ref="L24:M24" si="22">K24*1.1</f>
        <v>0</v>
      </c>
      <c r="M24" s="137">
        <f t="shared" si="22"/>
        <v>0</v>
      </c>
      <c r="N24" s="139"/>
    </row>
    <row r="25" ht="14.25" customHeight="1">
      <c r="A25" s="154" t="s">
        <v>85</v>
      </c>
      <c r="B25" s="155">
        <v>24000.0</v>
      </c>
      <c r="C25" s="155">
        <v>24000.0</v>
      </c>
      <c r="D25" s="155">
        <v>24000.0</v>
      </c>
      <c r="E25" s="155">
        <f>24000+17700</f>
        <v>41700</v>
      </c>
      <c r="F25" s="155">
        <v>24000.0</v>
      </c>
      <c r="G25" s="155">
        <v>24000.0</v>
      </c>
      <c r="H25" s="155">
        <f>24000+23600+4500</f>
        <v>52100</v>
      </c>
      <c r="I25" s="155">
        <v>24000.0</v>
      </c>
      <c r="J25" s="155">
        <v>33440.0</v>
      </c>
      <c r="K25" s="156">
        <v>24000.0</v>
      </c>
      <c r="L25" s="156">
        <v>24000.0</v>
      </c>
      <c r="M25" s="156">
        <v>24000.0</v>
      </c>
      <c r="N25" s="157">
        <f t="shared" ref="N25:N29" si="23">SUM(B25:M25)</f>
        <v>343240</v>
      </c>
    </row>
    <row r="26" ht="14.25" customHeight="1">
      <c r="A26" s="158" t="s">
        <v>82</v>
      </c>
      <c r="B26" s="159"/>
      <c r="C26" s="160"/>
      <c r="D26" s="160"/>
      <c r="E26" s="160"/>
      <c r="F26" s="156">
        <v>70.0</v>
      </c>
      <c r="G26" s="161">
        <v>-560.89</v>
      </c>
      <c r="H26" s="155">
        <v>16.06</v>
      </c>
      <c r="I26" s="156">
        <v>7.31</v>
      </c>
      <c r="J26" s="160"/>
      <c r="K26" s="160"/>
      <c r="L26" s="160"/>
      <c r="M26" s="162"/>
      <c r="N26" s="157">
        <f t="shared" si="23"/>
        <v>-467.52</v>
      </c>
    </row>
    <row r="27" ht="14.25" customHeight="1">
      <c r="A27" s="158" t="s">
        <v>121</v>
      </c>
      <c r="B27" s="155">
        <v>57062.0</v>
      </c>
      <c r="C27" s="156">
        <v>171460.0</v>
      </c>
      <c r="D27" s="156">
        <v>16308.0</v>
      </c>
      <c r="E27" s="156">
        <v>86738.0</v>
      </c>
      <c r="F27" s="156">
        <v>49624.0</v>
      </c>
      <c r="G27" s="161">
        <v>116867.0</v>
      </c>
      <c r="H27" s="155">
        <v>18611.0</v>
      </c>
      <c r="I27" s="156">
        <v>31568.0</v>
      </c>
      <c r="J27" s="156">
        <v>17866.0</v>
      </c>
      <c r="K27" s="156">
        <v>31713.0</v>
      </c>
      <c r="L27" s="156">
        <f t="shared" ref="L27:M27" si="24">K27*1.5</f>
        <v>47569.5</v>
      </c>
      <c r="M27" s="156">
        <f t="shared" si="24"/>
        <v>71354.25</v>
      </c>
      <c r="N27" s="163">
        <f t="shared" si="23"/>
        <v>716740.75</v>
      </c>
    </row>
    <row r="28" ht="14.25" customHeight="1">
      <c r="A28" s="158" t="s">
        <v>122</v>
      </c>
      <c r="B28" s="155">
        <v>2500.0</v>
      </c>
      <c r="C28" s="160"/>
      <c r="D28" s="160"/>
      <c r="E28" s="160"/>
      <c r="F28" s="160"/>
      <c r="G28" s="162"/>
      <c r="H28" s="159"/>
      <c r="I28" s="160"/>
      <c r="J28" s="160"/>
      <c r="K28" s="160"/>
      <c r="L28" s="160"/>
      <c r="M28" s="164"/>
      <c r="N28" s="157">
        <f t="shared" si="23"/>
        <v>2500</v>
      </c>
    </row>
    <row r="29" ht="14.25" customHeight="1">
      <c r="A29" s="165" t="s">
        <v>123</v>
      </c>
      <c r="B29" s="166">
        <f t="shared" ref="B29:M29" si="25">B3+B11+B15+B22+B27+B25+B28+B26</f>
        <v>420850.6</v>
      </c>
      <c r="C29" s="166">
        <f t="shared" si="25"/>
        <v>587598.5</v>
      </c>
      <c r="D29" s="166">
        <f t="shared" si="25"/>
        <v>421648.4</v>
      </c>
      <c r="E29" s="166">
        <f t="shared" si="25"/>
        <v>487783</v>
      </c>
      <c r="F29" s="166">
        <f t="shared" si="25"/>
        <v>436702.7</v>
      </c>
      <c r="G29" s="166">
        <f t="shared" si="25"/>
        <v>532791.01</v>
      </c>
      <c r="H29" s="166">
        <f t="shared" si="25"/>
        <v>511955.18</v>
      </c>
      <c r="I29" s="166">
        <f t="shared" si="25"/>
        <v>472405.01</v>
      </c>
      <c r="J29" s="166">
        <f t="shared" si="25"/>
        <v>486813.2</v>
      </c>
      <c r="K29" s="166">
        <f t="shared" si="25"/>
        <v>500160</v>
      </c>
      <c r="L29" s="166">
        <f t="shared" si="25"/>
        <v>560461.2</v>
      </c>
      <c r="M29" s="166">
        <f t="shared" si="25"/>
        <v>633135.12</v>
      </c>
      <c r="N29" s="166">
        <f t="shared" si="23"/>
        <v>6052303.92</v>
      </c>
    </row>
    <row r="30" ht="14.25" customHeight="1"/>
    <row r="31" ht="14.25" customHeight="1">
      <c r="B31" s="167"/>
      <c r="C31" s="167"/>
      <c r="D31" s="167"/>
      <c r="E31" s="167"/>
      <c r="F31" s="167"/>
      <c r="G31" s="167"/>
      <c r="N31" s="168"/>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sheetData>
  <mergeCells count="2">
    <mergeCell ref="B1:M1"/>
    <mergeCell ref="N1:N2"/>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35.0"/>
    <col customWidth="1" min="3" max="14" width="13.13"/>
    <col customWidth="1" min="15" max="15" width="12.63"/>
    <col customWidth="1" min="16" max="26" width="9.0"/>
  </cols>
  <sheetData>
    <row r="1" ht="25.5" customHeight="1">
      <c r="A1" s="169"/>
      <c r="B1" s="170" t="s">
        <v>0</v>
      </c>
      <c r="C1" s="171"/>
      <c r="D1" s="171"/>
      <c r="E1" s="171"/>
      <c r="F1" s="171"/>
      <c r="G1" s="171"/>
      <c r="H1" s="171"/>
      <c r="I1" s="171"/>
      <c r="J1" s="171"/>
      <c r="K1" s="171"/>
      <c r="L1" s="171"/>
      <c r="M1" s="171"/>
      <c r="N1" s="171"/>
      <c r="O1" s="172"/>
      <c r="P1" s="169"/>
      <c r="Q1" s="169"/>
      <c r="R1" s="169"/>
      <c r="S1" s="169"/>
      <c r="T1" s="169"/>
      <c r="U1" s="169"/>
      <c r="V1" s="169"/>
      <c r="W1" s="169"/>
      <c r="X1" s="169"/>
      <c r="Y1" s="169"/>
      <c r="Z1" s="169"/>
    </row>
    <row r="2" ht="21.0" customHeight="1">
      <c r="A2" s="169"/>
      <c r="B2" s="173" t="s">
        <v>124</v>
      </c>
      <c r="C2" s="174"/>
      <c r="D2" s="174"/>
      <c r="E2" s="174"/>
      <c r="F2" s="174"/>
      <c r="G2" s="174"/>
      <c r="H2" s="174"/>
      <c r="I2" s="174"/>
      <c r="J2" s="174"/>
      <c r="K2" s="174"/>
      <c r="L2" s="174"/>
      <c r="M2" s="174"/>
      <c r="N2" s="174"/>
      <c r="O2" s="175"/>
      <c r="P2" s="169"/>
      <c r="Q2" s="169"/>
      <c r="R2" s="169"/>
      <c r="S2" s="169"/>
      <c r="T2" s="169"/>
      <c r="U2" s="169"/>
      <c r="V2" s="169"/>
      <c r="W2" s="169"/>
      <c r="X2" s="169"/>
      <c r="Y2" s="169"/>
      <c r="Z2" s="169"/>
    </row>
    <row r="3" ht="6.75" customHeight="1">
      <c r="A3" s="169"/>
      <c r="B3" s="176"/>
      <c r="C3" s="176"/>
      <c r="D3" s="176"/>
      <c r="E3" s="176"/>
      <c r="F3" s="176"/>
      <c r="G3" s="176"/>
      <c r="H3" s="176"/>
      <c r="I3" s="176"/>
      <c r="J3" s="176"/>
      <c r="K3" s="176"/>
      <c r="L3" s="176"/>
      <c r="M3" s="176"/>
      <c r="N3" s="176"/>
      <c r="O3" s="176"/>
      <c r="P3" s="176"/>
      <c r="Q3" s="176"/>
      <c r="R3" s="176"/>
      <c r="S3" s="176"/>
      <c r="T3" s="176"/>
      <c r="U3" s="176"/>
      <c r="V3" s="176"/>
      <c r="W3" s="176"/>
      <c r="X3" s="176"/>
      <c r="Y3" s="176"/>
      <c r="Z3" s="176"/>
    </row>
    <row r="4" ht="7.5" customHeight="1">
      <c r="A4" s="169"/>
      <c r="B4" s="177"/>
      <c r="C4" s="176"/>
      <c r="D4" s="176"/>
      <c r="E4" s="176"/>
      <c r="F4" s="176"/>
      <c r="G4" s="176"/>
      <c r="H4" s="176"/>
      <c r="I4" s="176"/>
      <c r="J4" s="176"/>
      <c r="K4" s="176"/>
      <c r="L4" s="176"/>
      <c r="M4" s="176"/>
      <c r="N4" s="176"/>
      <c r="O4" s="176"/>
      <c r="P4" s="176"/>
      <c r="Q4" s="176"/>
      <c r="R4" s="176"/>
      <c r="S4" s="176"/>
      <c r="T4" s="176"/>
      <c r="U4" s="176"/>
      <c r="V4" s="176"/>
      <c r="W4" s="176"/>
      <c r="X4" s="176"/>
      <c r="Y4" s="176"/>
      <c r="Z4" s="176"/>
    </row>
    <row r="5" ht="14.25" customHeight="1">
      <c r="A5" s="169"/>
      <c r="B5" s="178" t="s">
        <v>125</v>
      </c>
      <c r="C5" s="179" t="s">
        <v>126</v>
      </c>
      <c r="D5" s="179"/>
      <c r="E5" s="179"/>
      <c r="F5" s="179"/>
      <c r="G5" s="179"/>
      <c r="H5" s="179"/>
      <c r="I5" s="179"/>
      <c r="J5" s="179"/>
      <c r="K5" s="179"/>
      <c r="L5" s="179"/>
      <c r="M5" s="179"/>
      <c r="N5" s="179"/>
      <c r="O5" s="180"/>
      <c r="P5" s="176"/>
      <c r="Q5" s="176"/>
      <c r="R5" s="176"/>
      <c r="S5" s="176"/>
      <c r="T5" s="176"/>
      <c r="U5" s="176"/>
      <c r="V5" s="176"/>
      <c r="W5" s="176"/>
      <c r="X5" s="176"/>
      <c r="Y5" s="176"/>
      <c r="Z5" s="176"/>
    </row>
    <row r="6" ht="14.25" customHeight="1">
      <c r="A6" s="169"/>
      <c r="B6" s="181" t="s">
        <v>127</v>
      </c>
      <c r="C6" s="182">
        <v>0.4</v>
      </c>
      <c r="D6" s="176"/>
      <c r="E6" s="176"/>
      <c r="F6" s="176"/>
      <c r="G6" s="176"/>
      <c r="H6" s="176"/>
      <c r="I6" s="176"/>
      <c r="J6" s="176"/>
      <c r="K6" s="176"/>
      <c r="L6" s="176"/>
      <c r="M6" s="176"/>
      <c r="N6" s="176"/>
      <c r="O6" s="183"/>
      <c r="P6" s="176"/>
      <c r="Q6" s="176"/>
      <c r="R6" s="176"/>
      <c r="S6" s="176"/>
      <c r="T6" s="176"/>
      <c r="U6" s="176"/>
      <c r="V6" s="176"/>
      <c r="W6" s="176"/>
      <c r="X6" s="176"/>
      <c r="Y6" s="176"/>
      <c r="Z6" s="176"/>
    </row>
    <row r="7" ht="14.25" customHeight="1">
      <c r="A7" s="169"/>
      <c r="B7" s="184" t="s">
        <v>128</v>
      </c>
      <c r="C7" s="185">
        <v>0.6</v>
      </c>
      <c r="D7" s="186"/>
      <c r="E7" s="186"/>
      <c r="F7" s="186"/>
      <c r="G7" s="186"/>
      <c r="H7" s="186"/>
      <c r="I7" s="186"/>
      <c r="J7" s="186"/>
      <c r="K7" s="186"/>
      <c r="L7" s="186"/>
      <c r="M7" s="186"/>
      <c r="N7" s="186"/>
      <c r="O7" s="187"/>
      <c r="P7" s="176"/>
      <c r="Q7" s="176"/>
      <c r="R7" s="176"/>
      <c r="S7" s="176"/>
      <c r="T7" s="176"/>
      <c r="U7" s="176"/>
      <c r="V7" s="176"/>
      <c r="W7" s="176"/>
      <c r="X7" s="176"/>
      <c r="Y7" s="176"/>
      <c r="Z7" s="176"/>
    </row>
    <row r="8" ht="14.25" customHeight="1">
      <c r="A8" s="169"/>
      <c r="B8" s="188"/>
      <c r="C8" s="189"/>
      <c r="D8" s="189"/>
      <c r="E8" s="189"/>
      <c r="F8" s="189"/>
      <c r="G8" s="189"/>
      <c r="H8" s="189"/>
      <c r="I8" s="189"/>
      <c r="J8" s="189"/>
      <c r="K8" s="189"/>
      <c r="L8" s="189"/>
      <c r="M8" s="189"/>
      <c r="N8" s="189"/>
      <c r="O8" s="186"/>
      <c r="P8" s="176"/>
      <c r="Q8" s="176"/>
      <c r="R8" s="176"/>
      <c r="S8" s="176"/>
      <c r="T8" s="176"/>
      <c r="U8" s="176"/>
      <c r="V8" s="176"/>
      <c r="W8" s="176"/>
      <c r="X8" s="176"/>
      <c r="Y8" s="176"/>
      <c r="Z8" s="176"/>
    </row>
    <row r="9" ht="21.0" customHeight="1">
      <c r="A9" s="190"/>
      <c r="B9" s="191" t="s">
        <v>54</v>
      </c>
      <c r="C9" s="192" t="s">
        <v>129</v>
      </c>
      <c r="D9" s="193" t="s">
        <v>130</v>
      </c>
      <c r="E9" s="193" t="s">
        <v>131</v>
      </c>
      <c r="F9" s="193" t="s">
        <v>132</v>
      </c>
      <c r="G9" s="193" t="s">
        <v>133</v>
      </c>
      <c r="H9" s="194" t="s">
        <v>134</v>
      </c>
      <c r="I9" s="192" t="s">
        <v>135</v>
      </c>
      <c r="J9" s="193" t="s">
        <v>136</v>
      </c>
      <c r="K9" s="193" t="s">
        <v>137</v>
      </c>
      <c r="L9" s="193" t="s">
        <v>138</v>
      </c>
      <c r="M9" s="193" t="s">
        <v>139</v>
      </c>
      <c r="N9" s="193" t="s">
        <v>140</v>
      </c>
      <c r="O9" s="195" t="s">
        <v>38</v>
      </c>
      <c r="P9" s="190"/>
      <c r="Q9" s="190"/>
      <c r="R9" s="190"/>
      <c r="S9" s="190"/>
      <c r="T9" s="190"/>
      <c r="U9" s="190"/>
      <c r="V9" s="190"/>
      <c r="W9" s="190"/>
      <c r="X9" s="190"/>
      <c r="Y9" s="190"/>
      <c r="Z9" s="190"/>
    </row>
    <row r="10" ht="15.75" customHeight="1">
      <c r="A10" s="6"/>
      <c r="B10" s="196" t="s">
        <v>141</v>
      </c>
      <c r="C10" s="197"/>
      <c r="D10" s="6"/>
      <c r="E10" s="6"/>
      <c r="F10" s="6"/>
      <c r="G10" s="6"/>
      <c r="H10" s="198"/>
      <c r="I10" s="199"/>
      <c r="J10" s="6"/>
      <c r="K10" s="6"/>
      <c r="L10" s="6"/>
      <c r="M10" s="6"/>
      <c r="N10" s="6"/>
      <c r="O10" s="200"/>
      <c r="P10" s="201"/>
      <c r="Q10" s="201"/>
      <c r="R10" s="201"/>
      <c r="S10" s="201"/>
      <c r="T10" s="201"/>
      <c r="U10" s="201"/>
      <c r="V10" s="201"/>
      <c r="W10" s="201"/>
      <c r="X10" s="201"/>
      <c r="Y10" s="201"/>
      <c r="Z10" s="201"/>
    </row>
    <row r="11" ht="15.75" customHeight="1">
      <c r="A11" s="6"/>
      <c r="B11" s="202" t="s">
        <v>142</v>
      </c>
      <c r="C11" s="197">
        <f>505074-(C13+C12)</f>
        <v>197625</v>
      </c>
      <c r="D11" s="203">
        <f>1479643-(D12+D13)</f>
        <v>476037</v>
      </c>
      <c r="E11" s="203">
        <f>1184157-E12</f>
        <v>1184157</v>
      </c>
      <c r="F11" s="203">
        <f>750355.65-F12</f>
        <v>750355.65</v>
      </c>
      <c r="G11" s="203">
        <f>983496-G12</f>
        <v>983496</v>
      </c>
      <c r="H11" s="204">
        <f>1891311-H12</f>
        <v>1891311</v>
      </c>
      <c r="I11" s="197">
        <f>2146465.92+10034-55652</f>
        <v>2100847.92</v>
      </c>
      <c r="J11" s="203">
        <f>('P&amp;L Detailed'!H5*'Cashflow Projection'!C7)+('P&amp;L Detailed'!I5*'Cashflow Projection'!C6)</f>
        <v>124349.6</v>
      </c>
      <c r="K11" s="203">
        <f>('P&amp;L Detailed'!I5*'Cashflow Projection'!C7)+('P&amp;L Detailed'!J5*'Cashflow Projection'!C6)</f>
        <v>124114.2</v>
      </c>
      <c r="L11" s="203">
        <f>('P&amp;L Detailed'!J5*'Cashflow Projection'!C7)+('P&amp;L Detailed'!K5*'Cashflow Projection'!C6)</f>
        <v>78477.4</v>
      </c>
      <c r="M11" s="203">
        <f>('P&amp;L Detailed'!K5*'Cashflow Projection'!C7)+('P&amp;L Detailed'!L5*'Cashflow Projection'!C6)</f>
        <v>101584</v>
      </c>
      <c r="N11" s="203">
        <f>('P&amp;L Detailed'!L5*'Cashflow Projection'!C7)+('P&amp;L Detailed'!M5*'Cashflow Projection'!C6)</f>
        <v>132059.2</v>
      </c>
      <c r="O11" s="205">
        <f t="shared" ref="O11:O16" si="1">SUM(C11:N11)</f>
        <v>8144413.97</v>
      </c>
      <c r="P11" s="201"/>
      <c r="Q11" s="201"/>
      <c r="R11" s="201"/>
      <c r="S11" s="201"/>
      <c r="T11" s="201"/>
      <c r="U11" s="201"/>
      <c r="V11" s="201"/>
      <c r="W11" s="201"/>
      <c r="X11" s="201"/>
      <c r="Y11" s="201"/>
      <c r="Z11" s="201"/>
    </row>
    <row r="12" ht="15.75" customHeight="1">
      <c r="A12" s="6"/>
      <c r="B12" s="202" t="s">
        <v>143</v>
      </c>
      <c r="C12" s="197" t="str">
        <f>'P&amp;L Detailed'!B9</f>
        <v/>
      </c>
      <c r="D12" s="203" t="str">
        <f>'P&amp;L Detailed'!C9</f>
        <v/>
      </c>
      <c r="E12" s="203" t="str">
        <f>'P&amp;L Detailed'!D9</f>
        <v/>
      </c>
      <c r="F12" s="203" t="str">
        <f>'P&amp;L Detailed'!E9</f>
        <v/>
      </c>
      <c r="G12" s="203" t="str">
        <f>'P&amp;L Detailed'!F9</f>
        <v/>
      </c>
      <c r="H12" s="204" t="str">
        <f>'P&amp;L Detailed'!G9</f>
        <v/>
      </c>
      <c r="I12" s="197" t="str">
        <f>'P&amp;L Detailed'!H9</f>
        <v/>
      </c>
      <c r="J12" s="203" t="str">
        <f>'P&amp;L Detailed'!I9</f>
        <v/>
      </c>
      <c r="K12" s="203" t="str">
        <f>'P&amp;L Detailed'!J9</f>
        <v/>
      </c>
      <c r="L12" s="203" t="str">
        <f>'P&amp;L Detailed'!K9</f>
        <v/>
      </c>
      <c r="M12" s="203" t="str">
        <f>'P&amp;L Detailed'!L9</f>
        <v/>
      </c>
      <c r="N12" s="203" t="str">
        <f>'P&amp;L Detailed'!M9</f>
        <v/>
      </c>
      <c r="O12" s="205">
        <f t="shared" si="1"/>
        <v>0</v>
      </c>
      <c r="P12" s="201"/>
      <c r="Q12" s="201"/>
      <c r="R12" s="201"/>
      <c r="S12" s="201"/>
      <c r="T12" s="201"/>
      <c r="U12" s="201"/>
      <c r="V12" s="201"/>
      <c r="W12" s="201"/>
      <c r="X12" s="201"/>
      <c r="Y12" s="201"/>
      <c r="Z12" s="201"/>
    </row>
    <row r="13" ht="15.75" customHeight="1">
      <c r="A13" s="6"/>
      <c r="B13" s="202" t="s">
        <v>144</v>
      </c>
      <c r="C13" s="206">
        <v>307449.0</v>
      </c>
      <c r="D13" s="207">
        <v>1003606.0</v>
      </c>
      <c r="E13" s="203"/>
      <c r="F13" s="203"/>
      <c r="G13" s="203"/>
      <c r="H13" s="204"/>
      <c r="I13" s="197"/>
      <c r="J13" s="203"/>
      <c r="K13" s="203"/>
      <c r="L13" s="203"/>
      <c r="M13" s="203"/>
      <c r="N13" s="203"/>
      <c r="O13" s="205">
        <f t="shared" si="1"/>
        <v>1311055</v>
      </c>
      <c r="P13" s="201"/>
      <c r="Q13" s="201"/>
      <c r="R13" s="201"/>
      <c r="S13" s="201"/>
      <c r="T13" s="201"/>
      <c r="U13" s="201"/>
      <c r="V13" s="201"/>
      <c r="W13" s="201"/>
      <c r="X13" s="201"/>
      <c r="Y13" s="201"/>
      <c r="Z13" s="201"/>
    </row>
    <row r="14" ht="15.75" customHeight="1">
      <c r="A14" s="6"/>
      <c r="B14" s="202" t="s">
        <v>145</v>
      </c>
      <c r="C14" s="197"/>
      <c r="D14" s="207">
        <v>2500000.0</v>
      </c>
      <c r="E14" s="203"/>
      <c r="F14" s="203"/>
      <c r="G14" s="203"/>
      <c r="H14" s="204"/>
      <c r="I14" s="197"/>
      <c r="J14" s="203"/>
      <c r="K14" s="203"/>
      <c r="L14" s="203"/>
      <c r="M14" s="203"/>
      <c r="N14" s="203"/>
      <c r="O14" s="205">
        <f t="shared" si="1"/>
        <v>2500000</v>
      </c>
      <c r="P14" s="201"/>
      <c r="Q14" s="201"/>
      <c r="R14" s="201"/>
      <c r="S14" s="201"/>
      <c r="T14" s="201"/>
      <c r="U14" s="201"/>
      <c r="V14" s="201"/>
      <c r="W14" s="201"/>
      <c r="X14" s="201"/>
      <c r="Y14" s="201"/>
      <c r="Z14" s="201"/>
    </row>
    <row r="15" ht="15.75" customHeight="1">
      <c r="A15" s="6"/>
      <c r="B15" s="202" t="s">
        <v>146</v>
      </c>
      <c r="C15" s="197"/>
      <c r="D15" s="203"/>
      <c r="E15" s="203"/>
      <c r="F15" s="203"/>
      <c r="G15" s="203"/>
      <c r="H15" s="204"/>
      <c r="I15" s="206">
        <v>400000.0</v>
      </c>
      <c r="J15" s="207">
        <v>500000.0</v>
      </c>
      <c r="K15" s="203"/>
      <c r="L15" s="203"/>
      <c r="M15" s="203"/>
      <c r="N15" s="203"/>
      <c r="O15" s="205">
        <f t="shared" si="1"/>
        <v>900000</v>
      </c>
      <c r="P15" s="201"/>
      <c r="Q15" s="201"/>
      <c r="R15" s="201"/>
      <c r="S15" s="201"/>
      <c r="T15" s="201"/>
      <c r="U15" s="201"/>
      <c r="V15" s="201"/>
      <c r="W15" s="201"/>
      <c r="X15" s="201"/>
      <c r="Y15" s="201"/>
      <c r="Z15" s="201"/>
    </row>
    <row r="16" ht="15.75" customHeight="1">
      <c r="A16" s="6"/>
      <c r="B16" s="202" t="s">
        <v>147</v>
      </c>
      <c r="C16" s="197">
        <f>515932-(C11+C13+C12)</f>
        <v>10858</v>
      </c>
      <c r="D16" s="203">
        <f>4167432-SUM(D11:D15)</f>
        <v>187789</v>
      </c>
      <c r="E16" s="203" t="str">
        <f>1321271-(E11+E13+E12+#REF!+E14+E15)</f>
        <v>#REF!</v>
      </c>
      <c r="F16" s="203">
        <f>906683.61-SUM(F11:F15)</f>
        <v>156327.96</v>
      </c>
      <c r="G16" s="207">
        <v>400295.0</v>
      </c>
      <c r="H16" s="204">
        <f>1903078-(SUM(H11:H15))</f>
        <v>11767</v>
      </c>
      <c r="I16" s="206">
        <v>2021.0</v>
      </c>
      <c r="J16" s="208"/>
      <c r="K16" s="208"/>
      <c r="L16" s="208"/>
      <c r="M16" s="208"/>
      <c r="N16" s="208"/>
      <c r="O16" s="205" t="str">
        <f t="shared" si="1"/>
        <v>#REF!</v>
      </c>
      <c r="P16" s="201"/>
      <c r="Q16" s="201"/>
      <c r="R16" s="201"/>
      <c r="S16" s="201"/>
      <c r="T16" s="201"/>
      <c r="U16" s="201"/>
      <c r="V16" s="201"/>
      <c r="W16" s="201"/>
      <c r="X16" s="201"/>
      <c r="Y16" s="201"/>
      <c r="Z16" s="201"/>
    </row>
    <row r="17" ht="14.25" customHeight="1">
      <c r="A17" s="6"/>
      <c r="B17" s="209" t="s">
        <v>148</v>
      </c>
      <c r="C17" s="210">
        <f t="shared" ref="C17:O17" si="2">SUM(C11:C16)</f>
        <v>515932</v>
      </c>
      <c r="D17" s="210">
        <f t="shared" si="2"/>
        <v>4167432</v>
      </c>
      <c r="E17" s="210" t="str">
        <f t="shared" si="2"/>
        <v>#REF!</v>
      </c>
      <c r="F17" s="210">
        <f t="shared" si="2"/>
        <v>906683.61</v>
      </c>
      <c r="G17" s="210">
        <f t="shared" si="2"/>
        <v>1383791</v>
      </c>
      <c r="H17" s="211">
        <f t="shared" si="2"/>
        <v>1903078</v>
      </c>
      <c r="I17" s="210">
        <f t="shared" si="2"/>
        <v>2502868.92</v>
      </c>
      <c r="J17" s="210">
        <f t="shared" si="2"/>
        <v>624349.6</v>
      </c>
      <c r="K17" s="210">
        <f t="shared" si="2"/>
        <v>124114.2</v>
      </c>
      <c r="L17" s="210">
        <f t="shared" si="2"/>
        <v>78477.4</v>
      </c>
      <c r="M17" s="210">
        <f t="shared" si="2"/>
        <v>101584</v>
      </c>
      <c r="N17" s="210">
        <f t="shared" si="2"/>
        <v>132059.2</v>
      </c>
      <c r="O17" s="212" t="str">
        <f t="shared" si="2"/>
        <v>#REF!</v>
      </c>
      <c r="P17" s="201"/>
      <c r="Q17" s="201"/>
      <c r="R17" s="201"/>
      <c r="S17" s="201"/>
      <c r="T17" s="201"/>
      <c r="U17" s="201"/>
      <c r="V17" s="201"/>
      <c r="W17" s="201"/>
      <c r="X17" s="201"/>
      <c r="Y17" s="201"/>
      <c r="Z17" s="201"/>
    </row>
    <row r="18" ht="15.75" customHeight="1">
      <c r="A18" s="6"/>
      <c r="B18" s="213" t="s">
        <v>149</v>
      </c>
      <c r="C18" s="214"/>
      <c r="D18" s="203"/>
      <c r="E18" s="203"/>
      <c r="F18" s="203"/>
      <c r="G18" s="203"/>
      <c r="H18" s="204"/>
      <c r="I18" s="197"/>
      <c r="J18" s="203"/>
      <c r="K18" s="203"/>
      <c r="L18" s="203"/>
      <c r="M18" s="203"/>
      <c r="N18" s="203"/>
      <c r="O18" s="205"/>
      <c r="P18" s="201"/>
      <c r="Q18" s="201"/>
      <c r="R18" s="201"/>
      <c r="S18" s="201"/>
      <c r="T18" s="201"/>
      <c r="U18" s="201"/>
      <c r="V18" s="201"/>
      <c r="W18" s="201"/>
      <c r="X18" s="201"/>
      <c r="Y18" s="201"/>
      <c r="Z18" s="201"/>
    </row>
    <row r="19" ht="15.75" customHeight="1">
      <c r="A19" s="6"/>
      <c r="B19" s="202" t="s">
        <v>150</v>
      </c>
      <c r="C19" s="197" t="str">
        <f t="shared" ref="C19:I19" si="3">#REF!</f>
        <v>#REF!</v>
      </c>
      <c r="D19" s="203" t="str">
        <f t="shared" si="3"/>
        <v>#REF!</v>
      </c>
      <c r="E19" s="203" t="str">
        <f t="shared" si="3"/>
        <v>#REF!</v>
      </c>
      <c r="F19" s="203" t="str">
        <f t="shared" si="3"/>
        <v>#REF!</v>
      </c>
      <c r="G19" s="203" t="str">
        <f t="shared" si="3"/>
        <v>#REF!</v>
      </c>
      <c r="H19" s="203" t="str">
        <f t="shared" si="3"/>
        <v>#REF!</v>
      </c>
      <c r="I19" s="197" t="str">
        <f t="shared" si="3"/>
        <v>#REF!</v>
      </c>
      <c r="J19" s="207">
        <v>300000.0</v>
      </c>
      <c r="K19" s="203">
        <f>('P&amp;L Detailed'!I10*20%)+('P&amp;L Detailed'!J10*80%)</f>
        <v>303250.8</v>
      </c>
      <c r="L19" s="203">
        <f>('P&amp;L Detailed'!J10*20%)+('P&amp;L Detailed'!K10*80%)</f>
        <v>282431.2</v>
      </c>
      <c r="M19" s="203">
        <f>('P&amp;L Detailed'!K10*20%)+('P&amp;L Detailed'!L10*80%)</f>
        <v>338438.16</v>
      </c>
      <c r="N19" s="203">
        <f>('P&amp;L Detailed'!L10*20%)+('P&amp;L Detailed'!M10*80%)</f>
        <v>439969.608</v>
      </c>
      <c r="O19" s="205" t="str">
        <f t="shared" ref="O19:O22" si="4">SUM(C19:N19)</f>
        <v>#REF!</v>
      </c>
      <c r="P19" s="201"/>
      <c r="Q19" s="201"/>
      <c r="R19" s="201"/>
      <c r="S19" s="201"/>
      <c r="T19" s="201"/>
      <c r="U19" s="201"/>
      <c r="V19" s="201"/>
      <c r="W19" s="201"/>
      <c r="X19" s="201"/>
      <c r="Y19" s="201"/>
      <c r="Z19" s="201"/>
    </row>
    <row r="20" ht="15.75" customHeight="1">
      <c r="A20" s="6"/>
      <c r="B20" s="202" t="s">
        <v>18</v>
      </c>
      <c r="C20" s="197">
        <f>'P&amp;L Detailed'!B15</f>
        <v>35008</v>
      </c>
      <c r="D20" s="203">
        <f>'P&amp;L Detailed'!C15</f>
        <v>34233</v>
      </c>
      <c r="E20" s="203">
        <f>'P&amp;L Detailed'!D15</f>
        <v>29919</v>
      </c>
      <c r="F20" s="203">
        <f>'P&amp;L Detailed'!E15</f>
        <v>30792</v>
      </c>
      <c r="G20" s="203">
        <f>'P&amp;L Detailed'!F15</f>
        <v>29948</v>
      </c>
      <c r="H20" s="204">
        <f>'P&amp;L Detailed'!G15</f>
        <v>27828</v>
      </c>
      <c r="I20" s="197">
        <f>'P&amp;L Detailed'!H15</f>
        <v>19090</v>
      </c>
      <c r="J20" s="203">
        <f>'P&amp;L Detailed'!I15</f>
        <v>21450</v>
      </c>
      <c r="K20" s="203">
        <f>'P&amp;L Detailed'!J15</f>
        <v>32404</v>
      </c>
      <c r="L20" s="203">
        <f>'P&amp;L Detailed'!K15</f>
        <v>34013</v>
      </c>
      <c r="M20" s="203">
        <f>'P&amp;L Detailed'!L15</f>
        <v>44216.9</v>
      </c>
      <c r="N20" s="203">
        <f>'P&amp;L Detailed'!M15</f>
        <v>57481.97</v>
      </c>
      <c r="O20" s="205">
        <f t="shared" si="4"/>
        <v>396383.87</v>
      </c>
      <c r="P20" s="201"/>
      <c r="Q20" s="201"/>
      <c r="R20" s="201"/>
      <c r="S20" s="201"/>
      <c r="T20" s="201"/>
      <c r="U20" s="201"/>
      <c r="V20" s="201"/>
      <c r="W20" s="201"/>
      <c r="X20" s="201"/>
      <c r="Y20" s="201"/>
      <c r="Z20" s="201"/>
    </row>
    <row r="21" ht="15.75" customHeight="1">
      <c r="A21" s="6"/>
      <c r="B21" s="215" t="s">
        <v>151</v>
      </c>
      <c r="C21" s="197">
        <f>251323+131910</f>
        <v>383233</v>
      </c>
      <c r="D21" s="203"/>
      <c r="E21" s="203"/>
      <c r="F21" s="203"/>
      <c r="G21" s="203"/>
      <c r="H21" s="204"/>
      <c r="I21" s="197"/>
      <c r="J21" s="203"/>
      <c r="K21" s="203"/>
      <c r="L21" s="203"/>
      <c r="M21" s="203"/>
      <c r="N21" s="203"/>
      <c r="O21" s="205">
        <f t="shared" si="4"/>
        <v>383233</v>
      </c>
      <c r="P21" s="201"/>
      <c r="Q21" s="201"/>
      <c r="R21" s="201"/>
      <c r="S21" s="201"/>
      <c r="T21" s="201"/>
      <c r="U21" s="201"/>
      <c r="V21" s="201"/>
      <c r="W21" s="201"/>
      <c r="X21" s="201"/>
      <c r="Y21" s="201"/>
      <c r="Z21" s="201"/>
    </row>
    <row r="22" ht="14.25" customHeight="1">
      <c r="A22" s="6"/>
      <c r="B22" s="216" t="s">
        <v>152</v>
      </c>
      <c r="C22" s="217" t="str">
        <f t="shared" ref="C22:N22" si="5">SUM(C19:C21)</f>
        <v>#REF!</v>
      </c>
      <c r="D22" s="217" t="str">
        <f t="shared" si="5"/>
        <v>#REF!</v>
      </c>
      <c r="E22" s="217" t="str">
        <f t="shared" si="5"/>
        <v>#REF!</v>
      </c>
      <c r="F22" s="217" t="str">
        <f t="shared" si="5"/>
        <v>#REF!</v>
      </c>
      <c r="G22" s="217" t="str">
        <f t="shared" si="5"/>
        <v>#REF!</v>
      </c>
      <c r="H22" s="218" t="str">
        <f t="shared" si="5"/>
        <v>#REF!</v>
      </c>
      <c r="I22" s="217" t="str">
        <f t="shared" si="5"/>
        <v>#REF!</v>
      </c>
      <c r="J22" s="217">
        <f t="shared" si="5"/>
        <v>321450</v>
      </c>
      <c r="K22" s="217">
        <f t="shared" si="5"/>
        <v>335654.8</v>
      </c>
      <c r="L22" s="217">
        <f t="shared" si="5"/>
        <v>316444.2</v>
      </c>
      <c r="M22" s="217">
        <f t="shared" si="5"/>
        <v>382655.06</v>
      </c>
      <c r="N22" s="217">
        <f t="shared" si="5"/>
        <v>497451.578</v>
      </c>
      <c r="O22" s="219" t="str">
        <f t="shared" si="4"/>
        <v>#REF!</v>
      </c>
      <c r="P22" s="201"/>
      <c r="Q22" s="201"/>
      <c r="R22" s="201"/>
      <c r="S22" s="201"/>
      <c r="T22" s="201"/>
      <c r="U22" s="201"/>
      <c r="V22" s="201"/>
      <c r="W22" s="201"/>
      <c r="X22" s="201"/>
      <c r="Y22" s="201"/>
      <c r="Z22" s="201"/>
    </row>
    <row r="23" ht="15.75" customHeight="1">
      <c r="A23" s="6"/>
      <c r="B23" s="220"/>
      <c r="C23" s="197"/>
      <c r="D23" s="203"/>
      <c r="E23" s="203"/>
      <c r="F23" s="203"/>
      <c r="G23" s="203"/>
      <c r="H23" s="204"/>
      <c r="I23" s="197"/>
      <c r="J23" s="203"/>
      <c r="K23" s="203"/>
      <c r="L23" s="203"/>
      <c r="M23" s="203"/>
      <c r="N23" s="203"/>
      <c r="O23" s="221"/>
      <c r="P23" s="201"/>
      <c r="Q23" s="201"/>
      <c r="R23" s="201"/>
      <c r="S23" s="201"/>
      <c r="T23" s="201"/>
      <c r="U23" s="201"/>
      <c r="V23" s="201"/>
      <c r="W23" s="201"/>
      <c r="X23" s="201"/>
      <c r="Y23" s="201"/>
      <c r="Z23" s="201"/>
    </row>
    <row r="24" ht="15.75" customHeight="1">
      <c r="A24" s="6"/>
      <c r="B24" s="213" t="s">
        <v>153</v>
      </c>
      <c r="C24" s="197"/>
      <c r="D24" s="203"/>
      <c r="E24" s="203"/>
      <c r="F24" s="203"/>
      <c r="G24" s="203"/>
      <c r="H24" s="204"/>
      <c r="I24" s="197"/>
      <c r="J24" s="203"/>
      <c r="K24" s="203"/>
      <c r="L24" s="203"/>
      <c r="M24" s="203"/>
      <c r="N24" s="203"/>
      <c r="O24" s="221"/>
      <c r="P24" s="201"/>
      <c r="Q24" s="201"/>
      <c r="R24" s="201"/>
      <c r="S24" s="201"/>
      <c r="T24" s="201"/>
      <c r="U24" s="201"/>
      <c r="V24" s="201"/>
      <c r="W24" s="201"/>
      <c r="X24" s="201"/>
      <c r="Y24" s="201"/>
      <c r="Z24" s="201"/>
    </row>
    <row r="25" ht="15.75" customHeight="1">
      <c r="A25" s="6"/>
      <c r="B25" s="202" t="s">
        <v>79</v>
      </c>
      <c r="C25" s="197" t="str">
        <f t="shared" ref="C25:N25" si="6">#REF!</f>
        <v>#REF!</v>
      </c>
      <c r="D25" s="203" t="str">
        <f t="shared" si="6"/>
        <v>#REF!</v>
      </c>
      <c r="E25" s="203" t="str">
        <f t="shared" si="6"/>
        <v>#REF!</v>
      </c>
      <c r="F25" s="203" t="str">
        <f t="shared" si="6"/>
        <v>#REF!</v>
      </c>
      <c r="G25" s="203" t="str">
        <f t="shared" si="6"/>
        <v>#REF!</v>
      </c>
      <c r="H25" s="204" t="str">
        <f t="shared" si="6"/>
        <v>#REF!</v>
      </c>
      <c r="I25" s="197" t="str">
        <f t="shared" si="6"/>
        <v>#REF!</v>
      </c>
      <c r="J25" s="203" t="str">
        <f t="shared" si="6"/>
        <v>#REF!</v>
      </c>
      <c r="K25" s="203" t="str">
        <f t="shared" si="6"/>
        <v>#REF!</v>
      </c>
      <c r="L25" s="203" t="str">
        <f t="shared" si="6"/>
        <v>#REF!</v>
      </c>
      <c r="M25" s="203" t="str">
        <f t="shared" si="6"/>
        <v>#REF!</v>
      </c>
      <c r="N25" s="203" t="str">
        <f t="shared" si="6"/>
        <v>#REF!</v>
      </c>
      <c r="O25" s="205" t="str">
        <f t="shared" ref="O25:O34" si="9">SUM(C25:N25)</f>
        <v>#REF!</v>
      </c>
      <c r="P25" s="201"/>
      <c r="Q25" s="201"/>
      <c r="R25" s="201"/>
      <c r="S25" s="201"/>
      <c r="T25" s="201"/>
      <c r="U25" s="201"/>
      <c r="V25" s="201"/>
      <c r="W25" s="201"/>
      <c r="X25" s="201"/>
      <c r="Y25" s="201"/>
      <c r="Z25" s="201"/>
    </row>
    <row r="26" ht="15.75" customHeight="1">
      <c r="A26" s="6"/>
      <c r="B26" s="202" t="s">
        <v>80</v>
      </c>
      <c r="C26" s="197" t="str">
        <f t="shared" ref="C26:H26" si="7">#REF!</f>
        <v>#REF!</v>
      </c>
      <c r="D26" s="203" t="str">
        <f t="shared" si="7"/>
        <v>#REF!</v>
      </c>
      <c r="E26" s="203" t="str">
        <f t="shared" si="7"/>
        <v>#REF!</v>
      </c>
      <c r="F26" s="203" t="str">
        <f t="shared" si="7"/>
        <v>#REF!</v>
      </c>
      <c r="G26" s="203" t="str">
        <f t="shared" si="7"/>
        <v>#REF!</v>
      </c>
      <c r="H26" s="204" t="str">
        <f t="shared" si="7"/>
        <v>#REF!</v>
      </c>
      <c r="I26" s="197" t="str">
        <f>#REF!+37093</f>
        <v>#REF!</v>
      </c>
      <c r="J26" s="203" t="str">
        <f t="shared" ref="J26:N26" si="8">#REF!</f>
        <v>#REF!</v>
      </c>
      <c r="K26" s="203" t="str">
        <f t="shared" si="8"/>
        <v>#REF!</v>
      </c>
      <c r="L26" s="203" t="str">
        <f t="shared" si="8"/>
        <v>#REF!</v>
      </c>
      <c r="M26" s="203" t="str">
        <f t="shared" si="8"/>
        <v>#REF!</v>
      </c>
      <c r="N26" s="203" t="str">
        <f t="shared" si="8"/>
        <v>#REF!</v>
      </c>
      <c r="O26" s="205" t="str">
        <f t="shared" si="9"/>
        <v>#REF!</v>
      </c>
      <c r="P26" s="201"/>
      <c r="Q26" s="201"/>
      <c r="R26" s="201"/>
      <c r="S26" s="201"/>
      <c r="T26" s="201"/>
      <c r="U26" s="201"/>
      <c r="V26" s="201"/>
      <c r="W26" s="201"/>
      <c r="X26" s="201"/>
      <c r="Y26" s="201"/>
      <c r="Z26" s="201"/>
    </row>
    <row r="27" ht="15.75" customHeight="1">
      <c r="A27" s="6"/>
      <c r="B27" s="202" t="s">
        <v>81</v>
      </c>
      <c r="C27" s="197" t="str">
        <f t="shared" ref="C27:N27" si="10">#REF!</f>
        <v>#REF!</v>
      </c>
      <c r="D27" s="203" t="str">
        <f t="shared" si="10"/>
        <v>#REF!</v>
      </c>
      <c r="E27" s="203" t="str">
        <f t="shared" si="10"/>
        <v>#REF!</v>
      </c>
      <c r="F27" s="203" t="str">
        <f t="shared" si="10"/>
        <v>#REF!</v>
      </c>
      <c r="G27" s="203" t="str">
        <f t="shared" si="10"/>
        <v>#REF!</v>
      </c>
      <c r="H27" s="204" t="str">
        <f t="shared" si="10"/>
        <v>#REF!</v>
      </c>
      <c r="I27" s="197" t="str">
        <f t="shared" si="10"/>
        <v>#REF!</v>
      </c>
      <c r="J27" s="203" t="str">
        <f t="shared" si="10"/>
        <v>#REF!</v>
      </c>
      <c r="K27" s="203" t="str">
        <f t="shared" si="10"/>
        <v>#REF!</v>
      </c>
      <c r="L27" s="203" t="str">
        <f t="shared" si="10"/>
        <v>#REF!</v>
      </c>
      <c r="M27" s="203" t="str">
        <f t="shared" si="10"/>
        <v>#REF!</v>
      </c>
      <c r="N27" s="203" t="str">
        <f t="shared" si="10"/>
        <v>#REF!</v>
      </c>
      <c r="O27" s="205" t="str">
        <f t="shared" si="9"/>
        <v>#REF!</v>
      </c>
      <c r="P27" s="201"/>
      <c r="Q27" s="201"/>
      <c r="R27" s="201"/>
      <c r="S27" s="201"/>
      <c r="T27" s="201"/>
      <c r="U27" s="201"/>
      <c r="V27" s="201"/>
      <c r="W27" s="201"/>
      <c r="X27" s="201"/>
      <c r="Y27" s="201"/>
      <c r="Z27" s="201"/>
    </row>
    <row r="28" ht="15.75" customHeight="1">
      <c r="A28" s="6"/>
      <c r="B28" s="202" t="s">
        <v>82</v>
      </c>
      <c r="C28" s="197" t="str">
        <f t="shared" ref="C28:N28" si="11">#REF!</f>
        <v>#REF!</v>
      </c>
      <c r="D28" s="203" t="str">
        <f t="shared" si="11"/>
        <v>#REF!</v>
      </c>
      <c r="E28" s="203" t="str">
        <f t="shared" si="11"/>
        <v>#REF!</v>
      </c>
      <c r="F28" s="203" t="str">
        <f t="shared" si="11"/>
        <v>#REF!</v>
      </c>
      <c r="G28" s="203" t="str">
        <f t="shared" si="11"/>
        <v>#REF!</v>
      </c>
      <c r="H28" s="204" t="str">
        <f t="shared" si="11"/>
        <v>#REF!</v>
      </c>
      <c r="I28" s="197" t="str">
        <f t="shared" si="11"/>
        <v>#REF!</v>
      </c>
      <c r="J28" s="203" t="str">
        <f t="shared" si="11"/>
        <v>#REF!</v>
      </c>
      <c r="K28" s="203" t="str">
        <f t="shared" si="11"/>
        <v>#REF!</v>
      </c>
      <c r="L28" s="203" t="str">
        <f t="shared" si="11"/>
        <v>#REF!</v>
      </c>
      <c r="M28" s="203" t="str">
        <f t="shared" si="11"/>
        <v>#REF!</v>
      </c>
      <c r="N28" s="203" t="str">
        <f t="shared" si="11"/>
        <v>#REF!</v>
      </c>
      <c r="O28" s="205" t="str">
        <f t="shared" si="9"/>
        <v>#REF!</v>
      </c>
      <c r="P28" s="201"/>
      <c r="Q28" s="201"/>
      <c r="R28" s="201"/>
      <c r="S28" s="201"/>
      <c r="T28" s="201"/>
      <c r="U28" s="201"/>
      <c r="V28" s="201"/>
      <c r="W28" s="201"/>
      <c r="X28" s="201"/>
      <c r="Y28" s="201"/>
      <c r="Z28" s="201"/>
    </row>
    <row r="29" ht="15.75" customHeight="1">
      <c r="A29" s="6"/>
      <c r="B29" s="202" t="s">
        <v>154</v>
      </c>
      <c r="C29" s="197" t="str">
        <f t="shared" ref="C29:N29" si="12">#REF!</f>
        <v>#REF!</v>
      </c>
      <c r="D29" s="203" t="str">
        <f t="shared" si="12"/>
        <v>#REF!</v>
      </c>
      <c r="E29" s="203" t="str">
        <f t="shared" si="12"/>
        <v>#REF!</v>
      </c>
      <c r="F29" s="203" t="str">
        <f t="shared" si="12"/>
        <v>#REF!</v>
      </c>
      <c r="G29" s="203" t="str">
        <f t="shared" si="12"/>
        <v>#REF!</v>
      </c>
      <c r="H29" s="204" t="str">
        <f t="shared" si="12"/>
        <v>#REF!</v>
      </c>
      <c r="I29" s="197" t="str">
        <f t="shared" si="12"/>
        <v>#REF!</v>
      </c>
      <c r="J29" s="203" t="str">
        <f t="shared" si="12"/>
        <v>#REF!</v>
      </c>
      <c r="K29" s="203" t="str">
        <f t="shared" si="12"/>
        <v>#REF!</v>
      </c>
      <c r="L29" s="203" t="str">
        <f t="shared" si="12"/>
        <v>#REF!</v>
      </c>
      <c r="M29" s="203" t="str">
        <f t="shared" si="12"/>
        <v>#REF!</v>
      </c>
      <c r="N29" s="203" t="str">
        <f t="shared" si="12"/>
        <v>#REF!</v>
      </c>
      <c r="O29" s="205" t="str">
        <f t="shared" si="9"/>
        <v>#REF!</v>
      </c>
      <c r="P29" s="201"/>
      <c r="Q29" s="201"/>
      <c r="R29" s="201"/>
      <c r="S29" s="201"/>
      <c r="T29" s="201"/>
      <c r="U29" s="201"/>
      <c r="V29" s="201"/>
      <c r="W29" s="201"/>
      <c r="X29" s="201"/>
      <c r="Y29" s="201"/>
      <c r="Z29" s="201"/>
    </row>
    <row r="30" ht="15.75" customHeight="1">
      <c r="A30" s="6"/>
      <c r="B30" s="202" t="s">
        <v>83</v>
      </c>
      <c r="C30" s="197" t="str">
        <f t="shared" ref="C30:N30" si="13">#REF!</f>
        <v>#REF!</v>
      </c>
      <c r="D30" s="203" t="str">
        <f t="shared" si="13"/>
        <v>#REF!</v>
      </c>
      <c r="E30" s="203" t="str">
        <f t="shared" si="13"/>
        <v>#REF!</v>
      </c>
      <c r="F30" s="203" t="str">
        <f t="shared" si="13"/>
        <v>#REF!</v>
      </c>
      <c r="G30" s="203" t="str">
        <f t="shared" si="13"/>
        <v>#REF!</v>
      </c>
      <c r="H30" s="204" t="str">
        <f t="shared" si="13"/>
        <v>#REF!</v>
      </c>
      <c r="I30" s="197" t="str">
        <f t="shared" si="13"/>
        <v>#REF!</v>
      </c>
      <c r="J30" s="203" t="str">
        <f t="shared" si="13"/>
        <v>#REF!</v>
      </c>
      <c r="K30" s="203" t="str">
        <f t="shared" si="13"/>
        <v>#REF!</v>
      </c>
      <c r="L30" s="203" t="str">
        <f t="shared" si="13"/>
        <v>#REF!</v>
      </c>
      <c r="M30" s="203" t="str">
        <f t="shared" si="13"/>
        <v>#REF!</v>
      </c>
      <c r="N30" s="203" t="str">
        <f t="shared" si="13"/>
        <v>#REF!</v>
      </c>
      <c r="O30" s="205" t="str">
        <f t="shared" si="9"/>
        <v>#REF!</v>
      </c>
      <c r="P30" s="201"/>
      <c r="Q30" s="201"/>
      <c r="R30" s="201"/>
      <c r="S30" s="201"/>
      <c r="T30" s="201"/>
      <c r="U30" s="201"/>
      <c r="V30" s="201"/>
      <c r="W30" s="201"/>
      <c r="X30" s="201"/>
      <c r="Y30" s="201"/>
      <c r="Z30" s="201"/>
    </row>
    <row r="31" ht="15.75" customHeight="1">
      <c r="A31" s="6"/>
      <c r="B31" s="202" t="s">
        <v>155</v>
      </c>
      <c r="C31" s="197" t="str">
        <f t="shared" ref="C31:N31" si="14">#REF!</f>
        <v>#REF!</v>
      </c>
      <c r="D31" s="203" t="str">
        <f t="shared" si="14"/>
        <v>#REF!</v>
      </c>
      <c r="E31" s="203" t="str">
        <f t="shared" si="14"/>
        <v>#REF!</v>
      </c>
      <c r="F31" s="203" t="str">
        <f t="shared" si="14"/>
        <v>#REF!</v>
      </c>
      <c r="G31" s="203" t="str">
        <f t="shared" si="14"/>
        <v>#REF!</v>
      </c>
      <c r="H31" s="204" t="str">
        <f t="shared" si="14"/>
        <v>#REF!</v>
      </c>
      <c r="I31" s="197" t="str">
        <f t="shared" si="14"/>
        <v>#REF!</v>
      </c>
      <c r="J31" s="203" t="str">
        <f t="shared" si="14"/>
        <v>#REF!</v>
      </c>
      <c r="K31" s="203" t="str">
        <f t="shared" si="14"/>
        <v>#REF!</v>
      </c>
      <c r="L31" s="203" t="str">
        <f t="shared" si="14"/>
        <v>#REF!</v>
      </c>
      <c r="M31" s="203" t="str">
        <f t="shared" si="14"/>
        <v>#REF!</v>
      </c>
      <c r="N31" s="203" t="str">
        <f t="shared" si="14"/>
        <v>#REF!</v>
      </c>
      <c r="O31" s="205" t="str">
        <f t="shared" si="9"/>
        <v>#REF!</v>
      </c>
      <c r="P31" s="201"/>
      <c r="Q31" s="201"/>
      <c r="R31" s="201"/>
      <c r="S31" s="201"/>
      <c r="T31" s="201"/>
      <c r="U31" s="201"/>
      <c r="V31" s="201"/>
      <c r="W31" s="201"/>
      <c r="X31" s="201"/>
      <c r="Y31" s="201"/>
      <c r="Z31" s="201"/>
    </row>
    <row r="32" ht="15.75" customHeight="1">
      <c r="A32" s="6"/>
      <c r="B32" s="202" t="s">
        <v>84</v>
      </c>
      <c r="C32" s="197" t="str">
        <f t="shared" ref="C32:N32" si="15">#REF!</f>
        <v>#REF!</v>
      </c>
      <c r="D32" s="203" t="str">
        <f t="shared" si="15"/>
        <v>#REF!</v>
      </c>
      <c r="E32" s="203" t="str">
        <f t="shared" si="15"/>
        <v>#REF!</v>
      </c>
      <c r="F32" s="203" t="str">
        <f t="shared" si="15"/>
        <v>#REF!</v>
      </c>
      <c r="G32" s="203" t="str">
        <f t="shared" si="15"/>
        <v>#REF!</v>
      </c>
      <c r="H32" s="204" t="str">
        <f t="shared" si="15"/>
        <v>#REF!</v>
      </c>
      <c r="I32" s="197" t="str">
        <f t="shared" si="15"/>
        <v>#REF!</v>
      </c>
      <c r="J32" s="203" t="str">
        <f t="shared" si="15"/>
        <v>#REF!</v>
      </c>
      <c r="K32" s="203" t="str">
        <f t="shared" si="15"/>
        <v>#REF!</v>
      </c>
      <c r="L32" s="203" t="str">
        <f t="shared" si="15"/>
        <v>#REF!</v>
      </c>
      <c r="M32" s="203" t="str">
        <f t="shared" si="15"/>
        <v>#REF!</v>
      </c>
      <c r="N32" s="203" t="str">
        <f t="shared" si="15"/>
        <v>#REF!</v>
      </c>
      <c r="O32" s="205" t="str">
        <f t="shared" si="9"/>
        <v>#REF!</v>
      </c>
      <c r="P32" s="201"/>
      <c r="Q32" s="201"/>
      <c r="R32" s="201"/>
      <c r="S32" s="201"/>
      <c r="T32" s="201"/>
      <c r="U32" s="201"/>
      <c r="V32" s="201"/>
      <c r="W32" s="201"/>
      <c r="X32" s="201"/>
      <c r="Y32" s="201"/>
      <c r="Z32" s="201"/>
    </row>
    <row r="33" ht="15.75" customHeight="1">
      <c r="A33" s="6"/>
      <c r="B33" s="202" t="s">
        <v>85</v>
      </c>
      <c r="C33" s="197" t="str">
        <f t="shared" ref="C33:N33" si="16">#REF!</f>
        <v>#REF!</v>
      </c>
      <c r="D33" s="203" t="str">
        <f t="shared" si="16"/>
        <v>#REF!</v>
      </c>
      <c r="E33" s="203" t="str">
        <f t="shared" si="16"/>
        <v>#REF!</v>
      </c>
      <c r="F33" s="203" t="str">
        <f t="shared" si="16"/>
        <v>#REF!</v>
      </c>
      <c r="G33" s="203" t="str">
        <f t="shared" si="16"/>
        <v>#REF!</v>
      </c>
      <c r="H33" s="204" t="str">
        <f t="shared" si="16"/>
        <v>#REF!</v>
      </c>
      <c r="I33" s="197" t="str">
        <f t="shared" si="16"/>
        <v>#REF!</v>
      </c>
      <c r="J33" s="203" t="str">
        <f t="shared" si="16"/>
        <v>#REF!</v>
      </c>
      <c r="K33" s="203" t="str">
        <f t="shared" si="16"/>
        <v>#REF!</v>
      </c>
      <c r="L33" s="203" t="str">
        <f t="shared" si="16"/>
        <v>#REF!</v>
      </c>
      <c r="M33" s="203" t="str">
        <f t="shared" si="16"/>
        <v>#REF!</v>
      </c>
      <c r="N33" s="203" t="str">
        <f t="shared" si="16"/>
        <v>#REF!</v>
      </c>
      <c r="O33" s="205" t="str">
        <f t="shared" si="9"/>
        <v>#REF!</v>
      </c>
      <c r="P33" s="201"/>
      <c r="Q33" s="201"/>
      <c r="R33" s="201"/>
      <c r="S33" s="201"/>
      <c r="T33" s="201"/>
      <c r="U33" s="201"/>
      <c r="V33" s="201"/>
      <c r="W33" s="201"/>
      <c r="X33" s="201"/>
      <c r="Y33" s="201"/>
      <c r="Z33" s="201"/>
    </row>
    <row r="34" ht="15.75" customHeight="1">
      <c r="A34" s="6"/>
      <c r="B34" s="202" t="s">
        <v>156</v>
      </c>
      <c r="C34" s="197">
        <f>'P&amp;L Detailed'!B42</f>
        <v>561.6</v>
      </c>
      <c r="D34" s="203">
        <f>'P&amp;L Detailed'!C42</f>
        <v>449.5</v>
      </c>
      <c r="E34" s="203">
        <f>'P&amp;L Detailed'!D42</f>
        <v>455.4</v>
      </c>
      <c r="F34" s="203">
        <f>'P&amp;L Detailed'!E42</f>
        <v>597</v>
      </c>
      <c r="G34" s="203">
        <f>'P&amp;L Detailed'!F42</f>
        <v>1719.7</v>
      </c>
      <c r="H34" s="204">
        <f>'P&amp;L Detailed'!G42</f>
        <v>779.9</v>
      </c>
      <c r="I34" s="197">
        <f>'P&amp;L Detailed'!H42</f>
        <v>691.4</v>
      </c>
      <c r="J34" s="203">
        <f>'P&amp;L Detailed'!I42</f>
        <v>791.7</v>
      </c>
      <c r="K34" s="203">
        <f>'P&amp;L Detailed'!J42</f>
        <v>821.2</v>
      </c>
      <c r="L34" s="203">
        <f>'P&amp;L Detailed'!K42</f>
        <v>792</v>
      </c>
      <c r="M34" s="203">
        <f>'P&amp;L Detailed'!L42</f>
        <v>871.2</v>
      </c>
      <c r="N34" s="203">
        <f>'P&amp;L Detailed'!M42</f>
        <v>958.32</v>
      </c>
      <c r="O34" s="205">
        <f t="shared" si="9"/>
        <v>9488.92</v>
      </c>
      <c r="P34" s="201"/>
      <c r="Q34" s="201"/>
      <c r="R34" s="201"/>
      <c r="S34" s="201"/>
      <c r="T34" s="201"/>
      <c r="U34" s="201"/>
      <c r="V34" s="201"/>
      <c r="W34" s="201"/>
      <c r="X34" s="201"/>
      <c r="Y34" s="201"/>
      <c r="Z34" s="201"/>
    </row>
    <row r="35" ht="15.75" customHeight="1">
      <c r="A35" s="6"/>
      <c r="B35" s="222"/>
      <c r="C35" s="214"/>
      <c r="D35" s="208"/>
      <c r="E35" s="208"/>
      <c r="F35" s="208"/>
      <c r="G35" s="208"/>
      <c r="H35" s="223"/>
      <c r="I35" s="214"/>
      <c r="J35" s="208"/>
      <c r="K35" s="208"/>
      <c r="L35" s="208"/>
      <c r="M35" s="208"/>
      <c r="N35" s="208"/>
      <c r="O35" s="224"/>
      <c r="P35" s="201"/>
      <c r="Q35" s="201"/>
      <c r="R35" s="201"/>
      <c r="S35" s="201"/>
      <c r="T35" s="201"/>
      <c r="U35" s="201"/>
      <c r="V35" s="201"/>
      <c r="W35" s="201"/>
      <c r="X35" s="201"/>
      <c r="Y35" s="201"/>
      <c r="Z35" s="201"/>
    </row>
    <row r="36" ht="15.75" customHeight="1">
      <c r="A36" s="6"/>
      <c r="B36" s="213" t="s">
        <v>157</v>
      </c>
      <c r="C36" s="197">
        <f>23500+11813+11008</f>
        <v>46321</v>
      </c>
      <c r="D36" s="203">
        <f>70745+7623+6900</f>
        <v>85268</v>
      </c>
      <c r="E36" s="203"/>
      <c r="F36" s="203">
        <f>22860+25000+18414</f>
        <v>66274</v>
      </c>
      <c r="G36" s="203">
        <f>10000+1694</f>
        <v>11694</v>
      </c>
      <c r="H36" s="204"/>
      <c r="I36" s="197"/>
      <c r="J36" s="203"/>
      <c r="K36" s="203"/>
      <c r="L36" s="203"/>
      <c r="M36" s="203"/>
      <c r="N36" s="203"/>
      <c r="O36" s="205">
        <f t="shared" ref="O36:O50" si="17">SUM(C36:N36)</f>
        <v>209557</v>
      </c>
      <c r="P36" s="201"/>
      <c r="Q36" s="201"/>
      <c r="R36" s="201"/>
      <c r="S36" s="201"/>
      <c r="T36" s="201"/>
      <c r="U36" s="201"/>
      <c r="V36" s="201"/>
      <c r="W36" s="201"/>
      <c r="X36" s="201"/>
      <c r="Y36" s="201"/>
      <c r="Z36" s="201"/>
    </row>
    <row r="37" ht="15.75" customHeight="1">
      <c r="A37" s="6"/>
      <c r="B37" s="225" t="s">
        <v>158</v>
      </c>
      <c r="C37" s="197"/>
      <c r="D37" s="203"/>
      <c r="E37" s="203"/>
      <c r="F37" s="203"/>
      <c r="G37" s="203"/>
      <c r="H37" s="204"/>
      <c r="I37" s="206">
        <v>60000.0</v>
      </c>
      <c r="J37" s="203"/>
      <c r="K37" s="203"/>
      <c r="L37" s="203"/>
      <c r="M37" s="203"/>
      <c r="N37" s="203"/>
      <c r="O37" s="205">
        <f t="shared" si="17"/>
        <v>60000</v>
      </c>
      <c r="P37" s="201"/>
      <c r="Q37" s="201"/>
      <c r="R37" s="201"/>
      <c r="S37" s="201"/>
      <c r="T37" s="201"/>
      <c r="U37" s="201"/>
      <c r="V37" s="201"/>
      <c r="W37" s="201"/>
      <c r="X37" s="201"/>
      <c r="Y37" s="201"/>
      <c r="Z37" s="201"/>
    </row>
    <row r="38" ht="15.75" customHeight="1">
      <c r="A38" s="6"/>
      <c r="B38" s="222"/>
      <c r="C38" s="226"/>
      <c r="D38" s="227"/>
      <c r="E38" s="227"/>
      <c r="F38" s="227"/>
      <c r="G38" s="227"/>
      <c r="H38" s="228"/>
      <c r="I38" s="226"/>
      <c r="J38" s="227"/>
      <c r="K38" s="227"/>
      <c r="L38" s="227"/>
      <c r="M38" s="227"/>
      <c r="N38" s="227"/>
      <c r="O38" s="205">
        <f t="shared" si="17"/>
        <v>0</v>
      </c>
      <c r="P38" s="201"/>
      <c r="Q38" s="201"/>
      <c r="R38" s="201"/>
      <c r="S38" s="201"/>
      <c r="T38" s="201"/>
      <c r="U38" s="201"/>
      <c r="V38" s="201"/>
      <c r="W38" s="201"/>
      <c r="X38" s="201"/>
      <c r="Y38" s="201"/>
      <c r="Z38" s="201"/>
    </row>
    <row r="39" ht="15.75" customHeight="1">
      <c r="A39" s="6"/>
      <c r="B39" s="213" t="s">
        <v>159</v>
      </c>
      <c r="C39" s="197"/>
      <c r="D39" s="203"/>
      <c r="E39" s="203"/>
      <c r="F39" s="203"/>
      <c r="G39" s="203"/>
      <c r="H39" s="204"/>
      <c r="I39" s="197"/>
      <c r="J39" s="203"/>
      <c r="K39" s="203"/>
      <c r="L39" s="203"/>
      <c r="M39" s="203"/>
      <c r="N39" s="203"/>
      <c r="O39" s="205">
        <f t="shared" si="17"/>
        <v>0</v>
      </c>
      <c r="P39" s="201"/>
      <c r="Q39" s="201"/>
      <c r="R39" s="201"/>
      <c r="S39" s="201"/>
      <c r="T39" s="201"/>
      <c r="U39" s="201"/>
      <c r="V39" s="201"/>
      <c r="W39" s="201"/>
      <c r="X39" s="201"/>
      <c r="Y39" s="201"/>
      <c r="Z39" s="201"/>
    </row>
    <row r="40" ht="15.75" customHeight="1">
      <c r="A40" s="6"/>
      <c r="B40" s="229" t="s">
        <v>160</v>
      </c>
      <c r="C40" s="197"/>
      <c r="D40" s="203"/>
      <c r="E40" s="203"/>
      <c r="F40" s="203"/>
      <c r="G40" s="203"/>
      <c r="H40" s="204"/>
      <c r="I40" s="197"/>
      <c r="J40" s="203"/>
      <c r="K40" s="203"/>
      <c r="L40" s="203"/>
      <c r="M40" s="203"/>
      <c r="N40" s="203"/>
      <c r="O40" s="205">
        <f t="shared" si="17"/>
        <v>0</v>
      </c>
      <c r="P40" s="201"/>
      <c r="Q40" s="201"/>
      <c r="R40" s="201"/>
      <c r="S40" s="201"/>
      <c r="T40" s="201"/>
      <c r="U40" s="201"/>
      <c r="V40" s="201"/>
      <c r="W40" s="201"/>
      <c r="X40" s="201"/>
      <c r="Y40" s="201"/>
      <c r="Z40" s="201"/>
    </row>
    <row r="41" ht="15.75" customHeight="1">
      <c r="A41" s="6"/>
      <c r="B41" s="202" t="s">
        <v>161</v>
      </c>
      <c r="C41" s="206">
        <v>43980.0</v>
      </c>
      <c r="D41" s="203"/>
      <c r="E41" s="203"/>
      <c r="F41" s="207">
        <v>20000.0</v>
      </c>
      <c r="G41" s="203"/>
      <c r="H41" s="204"/>
      <c r="I41" s="206">
        <v>400000.0</v>
      </c>
      <c r="J41" s="203"/>
      <c r="K41" s="203"/>
      <c r="L41" s="203"/>
      <c r="M41" s="203"/>
      <c r="N41" s="203"/>
      <c r="O41" s="205">
        <f t="shared" si="17"/>
        <v>463980</v>
      </c>
      <c r="P41" s="201"/>
      <c r="Q41" s="201"/>
      <c r="R41" s="201"/>
      <c r="S41" s="201"/>
      <c r="T41" s="201"/>
      <c r="U41" s="201"/>
      <c r="V41" s="201"/>
      <c r="W41" s="201"/>
      <c r="X41" s="201"/>
      <c r="Y41" s="201"/>
      <c r="Z41" s="201"/>
    </row>
    <row r="42" ht="15.75" customHeight="1">
      <c r="A42" s="6"/>
      <c r="B42" s="202"/>
      <c r="C42" s="197"/>
      <c r="D42" s="203"/>
      <c r="E42" s="203"/>
      <c r="F42" s="203"/>
      <c r="G42" s="203"/>
      <c r="H42" s="204"/>
      <c r="I42" s="197"/>
      <c r="J42" s="203"/>
      <c r="K42" s="203"/>
      <c r="L42" s="203"/>
      <c r="M42" s="203"/>
      <c r="N42" s="203"/>
      <c r="O42" s="205">
        <f t="shared" si="17"/>
        <v>0</v>
      </c>
      <c r="P42" s="201"/>
      <c r="Q42" s="201"/>
      <c r="R42" s="201"/>
      <c r="S42" s="201"/>
      <c r="T42" s="201"/>
      <c r="U42" s="201"/>
      <c r="V42" s="201"/>
      <c r="W42" s="201"/>
      <c r="X42" s="201"/>
      <c r="Y42" s="201"/>
      <c r="Z42" s="201"/>
    </row>
    <row r="43" ht="15.75" customHeight="1">
      <c r="A43" s="6"/>
      <c r="B43" s="213" t="s">
        <v>162</v>
      </c>
      <c r="C43" s="197"/>
      <c r="D43" s="203"/>
      <c r="E43" s="203"/>
      <c r="F43" s="203"/>
      <c r="G43" s="203"/>
      <c r="H43" s="204"/>
      <c r="I43" s="197"/>
      <c r="J43" s="203"/>
      <c r="K43" s="203"/>
      <c r="L43" s="203"/>
      <c r="M43" s="203"/>
      <c r="N43" s="203"/>
      <c r="O43" s="205">
        <f t="shared" si="17"/>
        <v>0</v>
      </c>
      <c r="P43" s="201"/>
      <c r="Q43" s="201"/>
      <c r="R43" s="201"/>
      <c r="S43" s="201"/>
      <c r="T43" s="201"/>
      <c r="U43" s="201"/>
      <c r="V43" s="201"/>
      <c r="W43" s="201"/>
      <c r="X43" s="201"/>
      <c r="Y43" s="201"/>
      <c r="Z43" s="201"/>
    </row>
    <row r="44" ht="15.75" customHeight="1">
      <c r="A44" s="6"/>
      <c r="B44" s="230" t="s">
        <v>163</v>
      </c>
      <c r="C44" s="207">
        <v>38754.0</v>
      </c>
      <c r="D44" s="208">
        <v>0.0</v>
      </c>
      <c r="E44" s="208">
        <v>0.0</v>
      </c>
      <c r="F44" s="208">
        <v>0.0</v>
      </c>
      <c r="G44" s="203"/>
      <c r="H44" s="204">
        <f>8455+50000</f>
        <v>58455</v>
      </c>
      <c r="I44" s="197">
        <f>8526+59516</f>
        <v>68042</v>
      </c>
      <c r="J44" s="208"/>
      <c r="K44" s="208"/>
      <c r="L44" s="208"/>
      <c r="M44" s="208"/>
      <c r="N44" s="208"/>
      <c r="O44" s="205">
        <f t="shared" si="17"/>
        <v>165251</v>
      </c>
      <c r="P44" s="201"/>
      <c r="Q44" s="201"/>
      <c r="R44" s="201"/>
      <c r="S44" s="201"/>
      <c r="T44" s="201"/>
      <c r="U44" s="201"/>
      <c r="V44" s="201"/>
      <c r="W44" s="201"/>
      <c r="X44" s="201"/>
      <c r="Y44" s="201"/>
      <c r="Z44" s="201"/>
    </row>
    <row r="45" ht="15.75" customHeight="1">
      <c r="A45" s="6"/>
      <c r="B45" s="230" t="s">
        <v>164</v>
      </c>
      <c r="C45" s="203"/>
      <c r="D45" s="203"/>
      <c r="E45" s="203"/>
      <c r="F45" s="203"/>
      <c r="G45" s="203"/>
      <c r="H45" s="204"/>
      <c r="I45" s="197"/>
      <c r="J45" s="203"/>
      <c r="K45" s="203"/>
      <c r="L45" s="203"/>
      <c r="M45" s="203"/>
      <c r="N45" s="203"/>
      <c r="O45" s="205">
        <f t="shared" si="17"/>
        <v>0</v>
      </c>
      <c r="P45" s="201"/>
      <c r="Q45" s="201"/>
      <c r="R45" s="201"/>
      <c r="S45" s="201"/>
      <c r="T45" s="201"/>
      <c r="U45" s="201"/>
      <c r="V45" s="201"/>
      <c r="W45" s="201"/>
      <c r="X45" s="201"/>
      <c r="Y45" s="201"/>
      <c r="Z45" s="201"/>
    </row>
    <row r="46" ht="15.75" customHeight="1">
      <c r="A46" s="6"/>
      <c r="B46" s="230" t="s">
        <v>165</v>
      </c>
      <c r="C46" s="6"/>
      <c r="D46" s="203"/>
      <c r="E46" s="203"/>
      <c r="F46" s="203"/>
      <c r="G46" s="203"/>
      <c r="H46" s="204"/>
      <c r="I46" s="197"/>
      <c r="J46" s="207">
        <v>50000.0</v>
      </c>
      <c r="K46" s="203"/>
      <c r="L46" s="203"/>
      <c r="M46" s="203"/>
      <c r="N46" s="203"/>
      <c r="O46" s="205">
        <f t="shared" si="17"/>
        <v>50000</v>
      </c>
      <c r="P46" s="201"/>
      <c r="Q46" s="201"/>
      <c r="R46" s="201"/>
      <c r="S46" s="201"/>
      <c r="T46" s="201"/>
      <c r="U46" s="201"/>
      <c r="V46" s="201"/>
      <c r="W46" s="201"/>
      <c r="X46" s="201"/>
      <c r="Y46" s="201"/>
      <c r="Z46" s="201"/>
    </row>
    <row r="47" ht="15.75" customHeight="1">
      <c r="A47" s="6"/>
      <c r="B47" s="231"/>
      <c r="C47" s="203"/>
      <c r="D47" s="203"/>
      <c r="E47" s="203"/>
      <c r="F47" s="203"/>
      <c r="G47" s="203"/>
      <c r="H47" s="204"/>
      <c r="I47" s="197"/>
      <c r="J47" s="203"/>
      <c r="K47" s="203"/>
      <c r="L47" s="203"/>
      <c r="M47" s="203"/>
      <c r="N47" s="203"/>
      <c r="O47" s="205">
        <f t="shared" si="17"/>
        <v>0</v>
      </c>
      <c r="P47" s="201"/>
      <c r="Q47" s="201"/>
      <c r="R47" s="201"/>
      <c r="S47" s="201"/>
      <c r="T47" s="201"/>
      <c r="U47" s="201"/>
      <c r="V47" s="201"/>
      <c r="W47" s="201"/>
      <c r="X47" s="201"/>
      <c r="Y47" s="201"/>
      <c r="Z47" s="201"/>
    </row>
    <row r="48" ht="15.75" customHeight="1">
      <c r="A48" s="6"/>
      <c r="B48" s="232" t="s">
        <v>166</v>
      </c>
      <c r="C48" s="203">
        <v>0.0</v>
      </c>
      <c r="D48" s="203">
        <v>0.0</v>
      </c>
      <c r="E48" s="203">
        <v>0.0</v>
      </c>
      <c r="F48" s="203">
        <v>0.0</v>
      </c>
      <c r="G48" s="203">
        <v>0.0</v>
      </c>
      <c r="H48" s="204">
        <v>0.0</v>
      </c>
      <c r="I48" s="203">
        <v>0.0</v>
      </c>
      <c r="J48" s="203">
        <v>0.0</v>
      </c>
      <c r="K48" s="203">
        <v>0.0</v>
      </c>
      <c r="L48" s="203">
        <v>0.0</v>
      </c>
      <c r="M48" s="203">
        <v>0.0</v>
      </c>
      <c r="N48" s="203">
        <v>0.0</v>
      </c>
      <c r="O48" s="205">
        <f t="shared" si="17"/>
        <v>0</v>
      </c>
      <c r="P48" s="201"/>
      <c r="Q48" s="201"/>
      <c r="R48" s="201"/>
      <c r="S48" s="201"/>
      <c r="T48" s="201"/>
      <c r="U48" s="201"/>
      <c r="V48" s="201"/>
      <c r="W48" s="201"/>
      <c r="X48" s="201"/>
      <c r="Y48" s="201"/>
      <c r="Z48" s="201"/>
    </row>
    <row r="49" ht="15.75" customHeight="1">
      <c r="A49" s="6"/>
      <c r="B49" s="233"/>
      <c r="C49" s="197"/>
      <c r="D49" s="203"/>
      <c r="E49" s="203"/>
      <c r="F49" s="203"/>
      <c r="G49" s="203"/>
      <c r="H49" s="204"/>
      <c r="I49" s="197"/>
      <c r="J49" s="203"/>
      <c r="K49" s="203"/>
      <c r="L49" s="203"/>
      <c r="M49" s="203"/>
      <c r="N49" s="203"/>
      <c r="O49" s="205">
        <f t="shared" si="17"/>
        <v>0</v>
      </c>
      <c r="P49" s="201"/>
      <c r="Q49" s="201"/>
      <c r="R49" s="201"/>
      <c r="S49" s="201"/>
      <c r="T49" s="201"/>
      <c r="U49" s="201"/>
      <c r="V49" s="201"/>
      <c r="W49" s="201"/>
      <c r="X49" s="201"/>
      <c r="Y49" s="201"/>
      <c r="Z49" s="201"/>
    </row>
    <row r="50" ht="14.25" customHeight="1">
      <c r="A50" s="6"/>
      <c r="B50" s="234" t="s">
        <v>167</v>
      </c>
      <c r="C50" s="235" t="str">
        <f t="shared" ref="C50:N50" si="18">SUM(C22:C49)</f>
        <v>#REF!</v>
      </c>
      <c r="D50" s="235" t="str">
        <f t="shared" si="18"/>
        <v>#REF!</v>
      </c>
      <c r="E50" s="235" t="str">
        <f t="shared" si="18"/>
        <v>#REF!</v>
      </c>
      <c r="F50" s="235" t="str">
        <f t="shared" si="18"/>
        <v>#REF!</v>
      </c>
      <c r="G50" s="235" t="str">
        <f t="shared" si="18"/>
        <v>#REF!</v>
      </c>
      <c r="H50" s="236" t="str">
        <f t="shared" si="18"/>
        <v>#REF!</v>
      </c>
      <c r="I50" s="236" t="str">
        <f t="shared" si="18"/>
        <v>#REF!</v>
      </c>
      <c r="J50" s="236" t="str">
        <f t="shared" si="18"/>
        <v>#REF!</v>
      </c>
      <c r="K50" s="236" t="str">
        <f t="shared" si="18"/>
        <v>#REF!</v>
      </c>
      <c r="L50" s="236" t="str">
        <f t="shared" si="18"/>
        <v>#REF!</v>
      </c>
      <c r="M50" s="236" t="str">
        <f t="shared" si="18"/>
        <v>#REF!</v>
      </c>
      <c r="N50" s="236" t="str">
        <f t="shared" si="18"/>
        <v>#REF!</v>
      </c>
      <c r="O50" s="236" t="str">
        <f t="shared" si="17"/>
        <v>#REF!</v>
      </c>
      <c r="P50" s="201"/>
      <c r="Q50" s="237"/>
      <c r="R50" s="201"/>
      <c r="S50" s="201"/>
      <c r="T50" s="201"/>
      <c r="U50" s="201"/>
      <c r="V50" s="201"/>
      <c r="W50" s="201"/>
      <c r="X50" s="201"/>
      <c r="Y50" s="201"/>
      <c r="Z50" s="201"/>
    </row>
    <row r="51" ht="14.25" customHeight="1">
      <c r="A51" s="6"/>
      <c r="B51" s="238"/>
      <c r="C51" s="197"/>
      <c r="D51" s="203"/>
      <c r="E51" s="203"/>
      <c r="F51" s="203"/>
      <c r="G51" s="203"/>
      <c r="H51" s="204"/>
      <c r="I51" s="197"/>
      <c r="J51" s="203"/>
      <c r="K51" s="203"/>
      <c r="L51" s="203"/>
      <c r="M51" s="203"/>
      <c r="N51" s="203"/>
      <c r="O51" s="205"/>
      <c r="P51" s="201"/>
      <c r="Q51" s="201"/>
      <c r="R51" s="201"/>
      <c r="S51" s="201"/>
      <c r="T51" s="201"/>
      <c r="U51" s="201"/>
      <c r="V51" s="201"/>
      <c r="W51" s="201"/>
      <c r="X51" s="201"/>
      <c r="Y51" s="201"/>
      <c r="Z51" s="201"/>
    </row>
    <row r="52" ht="14.25" customHeight="1">
      <c r="A52" s="6"/>
      <c r="B52" s="239" t="s">
        <v>168</v>
      </c>
      <c r="C52" s="240" t="str">
        <f t="shared" ref="C52:N52" si="19">C17-C50</f>
        <v>#REF!</v>
      </c>
      <c r="D52" s="240" t="str">
        <f t="shared" si="19"/>
        <v>#REF!</v>
      </c>
      <c r="E52" s="240" t="str">
        <f t="shared" si="19"/>
        <v>#REF!</v>
      </c>
      <c r="F52" s="240" t="str">
        <f t="shared" si="19"/>
        <v>#REF!</v>
      </c>
      <c r="G52" s="240" t="str">
        <f t="shared" si="19"/>
        <v>#REF!</v>
      </c>
      <c r="H52" s="241" t="str">
        <f t="shared" si="19"/>
        <v>#REF!</v>
      </c>
      <c r="I52" s="242" t="str">
        <f t="shared" si="19"/>
        <v>#REF!</v>
      </c>
      <c r="J52" s="242" t="str">
        <f t="shared" si="19"/>
        <v>#REF!</v>
      </c>
      <c r="K52" s="242" t="str">
        <f t="shared" si="19"/>
        <v>#REF!</v>
      </c>
      <c r="L52" s="242" t="str">
        <f t="shared" si="19"/>
        <v>#REF!</v>
      </c>
      <c r="M52" s="242" t="str">
        <f t="shared" si="19"/>
        <v>#REF!</v>
      </c>
      <c r="N52" s="242" t="str">
        <f t="shared" si="19"/>
        <v>#REF!</v>
      </c>
      <c r="O52" s="243" t="str">
        <f>SUM(C52:N52)</f>
        <v>#REF!</v>
      </c>
      <c r="P52" s="201"/>
      <c r="Q52" s="201"/>
      <c r="R52" s="201"/>
      <c r="S52" s="201"/>
      <c r="T52" s="201"/>
      <c r="U52" s="201"/>
      <c r="V52" s="201"/>
      <c r="W52" s="201"/>
      <c r="X52" s="201"/>
      <c r="Y52" s="201"/>
      <c r="Z52" s="201"/>
    </row>
    <row r="53" ht="14.25" customHeight="1">
      <c r="A53" s="6"/>
      <c r="B53" s="238"/>
      <c r="C53" s="197"/>
      <c r="D53" s="203"/>
      <c r="E53" s="203"/>
      <c r="F53" s="203"/>
      <c r="G53" s="203"/>
      <c r="H53" s="204"/>
      <c r="I53" s="197"/>
      <c r="J53" s="203"/>
      <c r="K53" s="203"/>
      <c r="L53" s="203"/>
      <c r="M53" s="203"/>
      <c r="N53" s="203"/>
      <c r="O53" s="205"/>
      <c r="P53" s="201"/>
      <c r="Q53" s="201"/>
      <c r="R53" s="201"/>
      <c r="S53" s="201"/>
      <c r="T53" s="201"/>
      <c r="U53" s="201"/>
      <c r="V53" s="201"/>
      <c r="W53" s="201"/>
      <c r="X53" s="201"/>
      <c r="Y53" s="201"/>
      <c r="Z53" s="201"/>
    </row>
    <row r="54" ht="14.25" customHeight="1">
      <c r="A54" s="6"/>
      <c r="B54" s="239" t="s">
        <v>169</v>
      </c>
      <c r="C54" s="240">
        <f>'Fundflow_Post Investment'!R6</f>
        <v>6968502.66</v>
      </c>
      <c r="D54" s="240" t="str">
        <f t="shared" ref="D54:N54" si="20">C56</f>
        <v>#REF!</v>
      </c>
      <c r="E54" s="240" t="str">
        <f t="shared" si="20"/>
        <v>#REF!</v>
      </c>
      <c r="F54" s="240" t="str">
        <f t="shared" si="20"/>
        <v>#REF!</v>
      </c>
      <c r="G54" s="240" t="str">
        <f t="shared" si="20"/>
        <v>#REF!</v>
      </c>
      <c r="H54" s="241" t="str">
        <f t="shared" si="20"/>
        <v>#REF!</v>
      </c>
      <c r="I54" s="242" t="str">
        <f t="shared" si="20"/>
        <v>#REF!</v>
      </c>
      <c r="J54" s="240" t="str">
        <f t="shared" si="20"/>
        <v>#REF!</v>
      </c>
      <c r="K54" s="240" t="str">
        <f t="shared" si="20"/>
        <v>#REF!</v>
      </c>
      <c r="L54" s="240" t="str">
        <f t="shared" si="20"/>
        <v>#REF!</v>
      </c>
      <c r="M54" s="240" t="str">
        <f t="shared" si="20"/>
        <v>#REF!</v>
      </c>
      <c r="N54" s="244" t="str">
        <f t="shared" si="20"/>
        <v>#REF!</v>
      </c>
      <c r="O54" s="243" t="str">
        <f>SUM(C54:N54)</f>
        <v>#REF!</v>
      </c>
      <c r="P54" s="201"/>
      <c r="Q54" s="201"/>
      <c r="R54" s="201"/>
      <c r="S54" s="201"/>
      <c r="T54" s="201"/>
      <c r="U54" s="201"/>
      <c r="V54" s="201"/>
      <c r="W54" s="201"/>
      <c r="X54" s="201"/>
      <c r="Y54" s="201"/>
      <c r="Z54" s="201"/>
    </row>
    <row r="55" ht="14.25" customHeight="1">
      <c r="A55" s="6"/>
      <c r="B55" s="245"/>
      <c r="C55" s="197"/>
      <c r="D55" s="203"/>
      <c r="E55" s="203"/>
      <c r="F55" s="203"/>
      <c r="G55" s="203"/>
      <c r="H55" s="204"/>
      <c r="I55" s="197"/>
      <c r="J55" s="203"/>
      <c r="K55" s="203"/>
      <c r="L55" s="203"/>
      <c r="M55" s="203"/>
      <c r="N55" s="203"/>
      <c r="O55" s="205"/>
      <c r="P55" s="201"/>
      <c r="Q55" s="201"/>
      <c r="R55" s="201"/>
      <c r="S55" s="201"/>
      <c r="T55" s="201"/>
      <c r="U55" s="201"/>
      <c r="V55" s="201"/>
      <c r="W55" s="201"/>
      <c r="X55" s="201"/>
      <c r="Y55" s="201"/>
      <c r="Z55" s="201"/>
    </row>
    <row r="56" ht="14.25" customHeight="1">
      <c r="A56" s="6"/>
      <c r="B56" s="246" t="s">
        <v>170</v>
      </c>
      <c r="C56" s="247" t="str">
        <f t="shared" ref="C56:N56" si="21">C52+C54</f>
        <v>#REF!</v>
      </c>
      <c r="D56" s="247" t="str">
        <f t="shared" si="21"/>
        <v>#REF!</v>
      </c>
      <c r="E56" s="247" t="str">
        <f t="shared" si="21"/>
        <v>#REF!</v>
      </c>
      <c r="F56" s="247" t="str">
        <f t="shared" si="21"/>
        <v>#REF!</v>
      </c>
      <c r="G56" s="247" t="str">
        <f t="shared" si="21"/>
        <v>#REF!</v>
      </c>
      <c r="H56" s="243" t="str">
        <f t="shared" si="21"/>
        <v>#REF!</v>
      </c>
      <c r="I56" s="247" t="str">
        <f t="shared" si="21"/>
        <v>#REF!</v>
      </c>
      <c r="J56" s="247" t="str">
        <f t="shared" si="21"/>
        <v>#REF!</v>
      </c>
      <c r="K56" s="247" t="str">
        <f t="shared" si="21"/>
        <v>#REF!</v>
      </c>
      <c r="L56" s="247" t="str">
        <f t="shared" si="21"/>
        <v>#REF!</v>
      </c>
      <c r="M56" s="247" t="str">
        <f t="shared" si="21"/>
        <v>#REF!</v>
      </c>
      <c r="N56" s="247" t="str">
        <f t="shared" si="21"/>
        <v>#REF!</v>
      </c>
      <c r="O56" s="243"/>
      <c r="P56" s="201"/>
      <c r="Q56" s="201"/>
      <c r="R56" s="201"/>
      <c r="S56" s="201"/>
      <c r="T56" s="201"/>
      <c r="U56" s="201"/>
      <c r="V56" s="201"/>
      <c r="W56" s="201"/>
      <c r="X56" s="201"/>
      <c r="Y56" s="201"/>
      <c r="Z56" s="201"/>
    </row>
    <row r="57" ht="14.25" customHeight="1">
      <c r="A57" s="169"/>
      <c r="B57" s="188"/>
      <c r="C57" s="169"/>
      <c r="D57" s="169"/>
      <c r="E57" s="169"/>
      <c r="F57" s="169"/>
      <c r="G57" s="169"/>
      <c r="H57" s="169"/>
      <c r="I57" s="169"/>
      <c r="J57" s="169"/>
      <c r="K57" s="169"/>
      <c r="L57" s="169"/>
      <c r="M57" s="169"/>
      <c r="N57" s="248" t="str">
        <f>N56-5250000</f>
        <v>#REF!</v>
      </c>
      <c r="O57" s="169" t="s">
        <v>171</v>
      </c>
      <c r="P57" s="176"/>
      <c r="Q57" s="176"/>
      <c r="R57" s="176"/>
      <c r="S57" s="176"/>
      <c r="T57" s="176"/>
      <c r="U57" s="176"/>
      <c r="V57" s="176"/>
      <c r="W57" s="176"/>
      <c r="X57" s="176"/>
      <c r="Y57" s="176"/>
      <c r="Z57" s="176"/>
    </row>
    <row r="58" ht="14.25" customHeight="1">
      <c r="A58" s="169"/>
      <c r="B58" s="249"/>
      <c r="C58" s="169"/>
      <c r="D58" s="169"/>
      <c r="E58" s="169"/>
      <c r="F58" s="169"/>
      <c r="G58" s="169"/>
      <c r="H58" s="169"/>
      <c r="I58" s="169"/>
      <c r="J58" s="169"/>
      <c r="K58" s="169"/>
      <c r="L58" s="169"/>
      <c r="M58" s="169"/>
      <c r="N58" s="169"/>
      <c r="O58" s="169"/>
      <c r="P58" s="176"/>
      <c r="Q58" s="176"/>
      <c r="R58" s="176"/>
      <c r="S58" s="176"/>
      <c r="T58" s="176"/>
      <c r="U58" s="176"/>
      <c r="V58" s="176"/>
      <c r="W58" s="176"/>
      <c r="X58" s="176"/>
      <c r="Y58" s="176"/>
      <c r="Z58" s="176"/>
    </row>
    <row r="59" ht="30.0" customHeight="1">
      <c r="A59" s="169"/>
      <c r="B59" s="250" t="s">
        <v>172</v>
      </c>
      <c r="C59" s="251" t="s">
        <v>173</v>
      </c>
      <c r="D59" s="252"/>
      <c r="E59" s="252"/>
      <c r="F59" s="252"/>
      <c r="G59" s="252"/>
      <c r="H59" s="252"/>
      <c r="I59" s="252"/>
      <c r="J59" s="252"/>
      <c r="K59" s="252"/>
      <c r="L59" s="252"/>
      <c r="M59" s="252"/>
      <c r="N59" s="252"/>
      <c r="O59" s="253"/>
      <c r="P59" s="176"/>
      <c r="Q59" s="176"/>
      <c r="R59" s="176"/>
      <c r="S59" s="176"/>
      <c r="T59" s="176"/>
      <c r="U59" s="176"/>
      <c r="V59" s="176"/>
      <c r="W59" s="176"/>
      <c r="X59" s="176"/>
      <c r="Y59" s="176"/>
      <c r="Z59" s="176"/>
    </row>
    <row r="60" ht="22.5" customHeight="1">
      <c r="A60" s="169"/>
      <c r="B60" s="254"/>
      <c r="C60" s="255" t="s">
        <v>174</v>
      </c>
      <c r="D60" s="169"/>
      <c r="E60" s="169"/>
      <c r="F60" s="169"/>
      <c r="G60" s="169"/>
      <c r="H60" s="169"/>
      <c r="I60" s="169"/>
      <c r="J60" s="169"/>
      <c r="K60" s="169"/>
      <c r="L60" s="169"/>
      <c r="M60" s="169"/>
      <c r="N60" s="169"/>
      <c r="O60" s="256"/>
      <c r="P60" s="176"/>
      <c r="Q60" s="176"/>
      <c r="R60" s="176"/>
      <c r="S60" s="176"/>
      <c r="T60" s="176"/>
      <c r="U60" s="176"/>
      <c r="V60" s="176"/>
      <c r="W60" s="176"/>
      <c r="X60" s="176"/>
      <c r="Y60" s="176"/>
      <c r="Z60" s="176"/>
    </row>
    <row r="61" ht="22.5" customHeight="1">
      <c r="A61" s="169"/>
      <c r="B61" s="254"/>
      <c r="C61" s="169" t="s">
        <v>175</v>
      </c>
      <c r="D61" s="169"/>
      <c r="E61" s="169"/>
      <c r="F61" s="169"/>
      <c r="G61" s="169"/>
      <c r="H61" s="169"/>
      <c r="I61" s="169"/>
      <c r="J61" s="169"/>
      <c r="K61" s="169"/>
      <c r="L61" s="169"/>
      <c r="M61" s="169"/>
      <c r="N61" s="169"/>
      <c r="O61" s="256"/>
      <c r="P61" s="176"/>
      <c r="Q61" s="176"/>
      <c r="R61" s="176"/>
      <c r="S61" s="176"/>
      <c r="T61" s="176"/>
      <c r="U61" s="176"/>
      <c r="V61" s="176"/>
      <c r="W61" s="176"/>
      <c r="X61" s="176"/>
      <c r="Y61" s="176"/>
      <c r="Z61" s="176"/>
    </row>
    <row r="62" ht="22.5" customHeight="1">
      <c r="A62" s="169"/>
      <c r="B62" s="254"/>
      <c r="C62" s="169" t="s">
        <v>176</v>
      </c>
      <c r="D62" s="169"/>
      <c r="E62" s="169"/>
      <c r="F62" s="169"/>
      <c r="G62" s="169"/>
      <c r="H62" s="169"/>
      <c r="I62" s="169"/>
      <c r="J62" s="169"/>
      <c r="K62" s="169"/>
      <c r="L62" s="169"/>
      <c r="M62" s="169"/>
      <c r="N62" s="169"/>
      <c r="O62" s="256"/>
      <c r="P62" s="176"/>
      <c r="Q62" s="176"/>
      <c r="R62" s="176"/>
      <c r="S62" s="176"/>
      <c r="T62" s="176"/>
      <c r="U62" s="176"/>
      <c r="V62" s="176"/>
      <c r="W62" s="176"/>
      <c r="X62" s="176"/>
      <c r="Y62" s="176"/>
      <c r="Z62" s="176"/>
    </row>
    <row r="63" ht="22.5" customHeight="1">
      <c r="A63" s="169"/>
      <c r="B63" s="254"/>
      <c r="C63" s="169" t="s">
        <v>177</v>
      </c>
      <c r="D63" s="169"/>
      <c r="E63" s="169"/>
      <c r="F63" s="169"/>
      <c r="G63" s="169"/>
      <c r="H63" s="169"/>
      <c r="I63" s="169"/>
      <c r="J63" s="169"/>
      <c r="K63" s="169"/>
      <c r="L63" s="169"/>
      <c r="M63" s="169"/>
      <c r="N63" s="169"/>
      <c r="O63" s="256"/>
      <c r="P63" s="176"/>
      <c r="Q63" s="176"/>
      <c r="R63" s="176"/>
      <c r="S63" s="176"/>
      <c r="T63" s="176"/>
      <c r="U63" s="176"/>
      <c r="V63" s="176"/>
      <c r="W63" s="176"/>
      <c r="X63" s="176"/>
      <c r="Y63" s="176"/>
      <c r="Z63" s="176"/>
    </row>
    <row r="64" ht="22.5" customHeight="1">
      <c r="A64" s="169"/>
      <c r="B64" s="257"/>
      <c r="C64" s="258" t="s">
        <v>178</v>
      </c>
      <c r="D64" s="258"/>
      <c r="E64" s="258"/>
      <c r="F64" s="258"/>
      <c r="G64" s="258"/>
      <c r="H64" s="258"/>
      <c r="I64" s="258"/>
      <c r="J64" s="258"/>
      <c r="K64" s="258"/>
      <c r="L64" s="258"/>
      <c r="M64" s="258"/>
      <c r="N64" s="258"/>
      <c r="O64" s="259"/>
      <c r="P64" s="176"/>
      <c r="Q64" s="176"/>
      <c r="R64" s="176"/>
      <c r="S64" s="176"/>
      <c r="T64" s="176"/>
      <c r="U64" s="176"/>
      <c r="V64" s="176"/>
      <c r="W64" s="176"/>
      <c r="X64" s="176"/>
      <c r="Y64" s="176"/>
      <c r="Z64" s="176"/>
    </row>
    <row r="65" ht="14.25" customHeight="1">
      <c r="A65" s="169"/>
      <c r="B65" s="188"/>
      <c r="C65" s="169"/>
      <c r="D65" s="169"/>
      <c r="E65" s="169"/>
      <c r="F65" s="169"/>
      <c r="G65" s="169"/>
      <c r="H65" s="169"/>
      <c r="I65" s="169"/>
      <c r="J65" s="169"/>
      <c r="K65" s="169"/>
      <c r="L65" s="169"/>
      <c r="M65" s="169"/>
      <c r="N65" s="169"/>
      <c r="O65" s="169"/>
      <c r="P65" s="176"/>
      <c r="Q65" s="176"/>
      <c r="R65" s="176"/>
      <c r="S65" s="176"/>
      <c r="T65" s="176"/>
      <c r="U65" s="176"/>
      <c r="V65" s="176"/>
      <c r="W65" s="176"/>
      <c r="X65" s="176"/>
      <c r="Y65" s="176"/>
      <c r="Z65" s="176"/>
    </row>
    <row r="66" ht="14.25" customHeight="1">
      <c r="A66" s="169"/>
      <c r="B66" s="188"/>
      <c r="C66" s="169"/>
      <c r="D66" s="169"/>
      <c r="E66" s="169"/>
      <c r="F66" s="169"/>
      <c r="G66" s="169"/>
      <c r="H66" s="169"/>
      <c r="I66" s="169"/>
      <c r="J66" s="169"/>
      <c r="K66" s="169"/>
      <c r="L66" s="169"/>
      <c r="M66" s="169"/>
      <c r="N66" s="169"/>
      <c r="O66" s="169"/>
      <c r="P66" s="176"/>
      <c r="Q66" s="176"/>
      <c r="R66" s="176"/>
      <c r="S66" s="176"/>
      <c r="T66" s="176"/>
      <c r="U66" s="176"/>
      <c r="V66" s="176"/>
      <c r="W66" s="176"/>
      <c r="X66" s="176"/>
      <c r="Y66" s="176"/>
      <c r="Z66" s="176"/>
    </row>
    <row r="67" ht="14.25" customHeight="1">
      <c r="A67" s="169"/>
      <c r="B67" s="188"/>
      <c r="C67" s="169"/>
      <c r="D67" s="169"/>
      <c r="E67" s="169"/>
      <c r="F67" s="169"/>
      <c r="G67" s="169"/>
      <c r="H67" s="169"/>
      <c r="I67" s="169"/>
      <c r="J67" s="169"/>
      <c r="K67" s="169"/>
      <c r="L67" s="169"/>
      <c r="M67" s="169"/>
      <c r="N67" s="169"/>
      <c r="O67" s="169"/>
      <c r="P67" s="176"/>
      <c r="Q67" s="176"/>
      <c r="R67" s="176"/>
      <c r="S67" s="176"/>
      <c r="T67" s="176"/>
      <c r="U67" s="176"/>
      <c r="V67" s="176"/>
      <c r="W67" s="176"/>
      <c r="X67" s="176"/>
      <c r="Y67" s="176"/>
      <c r="Z67" s="176"/>
    </row>
    <row r="68" ht="14.25" customHeight="1">
      <c r="A68" s="169"/>
      <c r="B68" s="188"/>
      <c r="C68" s="169"/>
      <c r="D68" s="169"/>
      <c r="E68" s="169"/>
      <c r="F68" s="169"/>
      <c r="G68" s="169"/>
      <c r="H68" s="169"/>
      <c r="I68" s="169"/>
      <c r="J68" s="169"/>
      <c r="K68" s="169"/>
      <c r="L68" s="169"/>
      <c r="M68" s="169"/>
      <c r="N68" s="169"/>
      <c r="O68" s="169"/>
      <c r="P68" s="176"/>
      <c r="Q68" s="176"/>
      <c r="R68" s="176"/>
      <c r="S68" s="176"/>
      <c r="T68" s="176"/>
      <c r="U68" s="176"/>
      <c r="V68" s="176"/>
      <c r="W68" s="176"/>
      <c r="X68" s="176"/>
      <c r="Y68" s="176"/>
      <c r="Z68" s="176"/>
    </row>
    <row r="69" ht="14.25" customHeight="1">
      <c r="A69" s="169"/>
      <c r="B69" s="188"/>
      <c r="C69" s="169"/>
      <c r="D69" s="169"/>
      <c r="E69" s="169"/>
      <c r="F69" s="169"/>
      <c r="G69" s="169"/>
      <c r="H69" s="169"/>
      <c r="I69" s="169"/>
      <c r="J69" s="169"/>
      <c r="K69" s="169"/>
      <c r="L69" s="169"/>
      <c r="M69" s="169"/>
      <c r="N69" s="169"/>
      <c r="O69" s="169"/>
      <c r="P69" s="176"/>
      <c r="Q69" s="176"/>
      <c r="R69" s="176"/>
      <c r="S69" s="176"/>
      <c r="T69" s="176"/>
      <c r="U69" s="176"/>
      <c r="V69" s="176"/>
      <c r="W69" s="176"/>
      <c r="X69" s="176"/>
      <c r="Y69" s="176"/>
      <c r="Z69" s="176"/>
    </row>
    <row r="70" ht="14.25" customHeight="1">
      <c r="A70" s="169"/>
      <c r="B70" s="188"/>
      <c r="C70" s="169"/>
      <c r="D70" s="169"/>
      <c r="E70" s="169"/>
      <c r="F70" s="169"/>
      <c r="G70" s="169"/>
      <c r="H70" s="169"/>
      <c r="I70" s="169"/>
      <c r="J70" s="169"/>
      <c r="K70" s="169"/>
      <c r="L70" s="169"/>
      <c r="M70" s="169"/>
      <c r="N70" s="169"/>
      <c r="O70" s="169"/>
      <c r="P70" s="176"/>
      <c r="Q70" s="176"/>
      <c r="R70" s="176"/>
      <c r="S70" s="176"/>
      <c r="T70" s="176"/>
      <c r="U70" s="176"/>
      <c r="V70" s="176"/>
      <c r="W70" s="176"/>
      <c r="X70" s="176"/>
      <c r="Y70" s="176"/>
      <c r="Z70" s="176"/>
    </row>
    <row r="71" ht="14.25" customHeight="1">
      <c r="A71" s="169"/>
      <c r="B71" s="188"/>
      <c r="C71" s="169"/>
      <c r="D71" s="169"/>
      <c r="E71" s="169"/>
      <c r="F71" s="169"/>
      <c r="G71" s="169"/>
      <c r="H71" s="169"/>
      <c r="I71" s="169"/>
      <c r="J71" s="169"/>
      <c r="K71" s="169"/>
      <c r="L71" s="169"/>
      <c r="M71" s="169"/>
      <c r="N71" s="169"/>
      <c r="O71" s="169"/>
      <c r="P71" s="176"/>
      <c r="Q71" s="176"/>
      <c r="R71" s="176"/>
      <c r="S71" s="176"/>
      <c r="T71" s="176"/>
      <c r="U71" s="176"/>
      <c r="V71" s="176"/>
      <c r="W71" s="176"/>
      <c r="X71" s="176"/>
      <c r="Y71" s="176"/>
      <c r="Z71" s="176"/>
    </row>
    <row r="72" ht="14.25" customHeight="1">
      <c r="A72" s="169"/>
      <c r="B72" s="188"/>
      <c r="C72" s="169"/>
      <c r="D72" s="169"/>
      <c r="E72" s="169"/>
      <c r="F72" s="169"/>
      <c r="G72" s="169"/>
      <c r="H72" s="169"/>
      <c r="I72" s="169"/>
      <c r="J72" s="169"/>
      <c r="K72" s="169"/>
      <c r="L72" s="169"/>
      <c r="M72" s="169"/>
      <c r="N72" s="169"/>
      <c r="O72" s="169"/>
      <c r="P72" s="176"/>
      <c r="Q72" s="176"/>
      <c r="R72" s="176"/>
      <c r="S72" s="176"/>
      <c r="T72" s="176"/>
      <c r="U72" s="176"/>
      <c r="V72" s="176"/>
      <c r="W72" s="176"/>
      <c r="X72" s="176"/>
      <c r="Y72" s="176"/>
      <c r="Z72" s="176"/>
    </row>
    <row r="73" ht="14.25" customHeight="1">
      <c r="A73" s="169"/>
      <c r="B73" s="188"/>
      <c r="C73" s="169"/>
      <c r="D73" s="169"/>
      <c r="E73" s="169"/>
      <c r="F73" s="169"/>
      <c r="G73" s="169"/>
      <c r="H73" s="169"/>
      <c r="I73" s="169"/>
      <c r="J73" s="169"/>
      <c r="K73" s="169"/>
      <c r="L73" s="169"/>
      <c r="M73" s="169"/>
      <c r="N73" s="169"/>
      <c r="O73" s="169"/>
      <c r="P73" s="176"/>
      <c r="Q73" s="176"/>
      <c r="R73" s="176"/>
      <c r="S73" s="176"/>
      <c r="T73" s="176"/>
      <c r="U73" s="176"/>
      <c r="V73" s="176"/>
      <c r="W73" s="176"/>
      <c r="X73" s="176"/>
      <c r="Y73" s="176"/>
      <c r="Z73" s="176"/>
    </row>
    <row r="74" ht="14.25" customHeight="1">
      <c r="A74" s="169"/>
      <c r="B74" s="188"/>
      <c r="C74" s="169"/>
      <c r="D74" s="169"/>
      <c r="E74" s="169"/>
      <c r="F74" s="169"/>
      <c r="G74" s="169"/>
      <c r="H74" s="169"/>
      <c r="I74" s="169"/>
      <c r="J74" s="169"/>
      <c r="K74" s="169"/>
      <c r="L74" s="169"/>
      <c r="M74" s="169"/>
      <c r="N74" s="169"/>
      <c r="O74" s="169"/>
      <c r="P74" s="176"/>
      <c r="Q74" s="176"/>
      <c r="R74" s="176"/>
      <c r="S74" s="176"/>
      <c r="T74" s="176"/>
      <c r="U74" s="176"/>
      <c r="V74" s="176"/>
      <c r="W74" s="176"/>
      <c r="X74" s="176"/>
      <c r="Y74" s="176"/>
      <c r="Z74" s="176"/>
    </row>
    <row r="75" ht="14.25" customHeight="1">
      <c r="A75" s="169"/>
      <c r="B75" s="188"/>
      <c r="C75" s="169"/>
      <c r="D75" s="169"/>
      <c r="E75" s="169"/>
      <c r="F75" s="169"/>
      <c r="G75" s="169"/>
      <c r="H75" s="169"/>
      <c r="I75" s="169"/>
      <c r="J75" s="169"/>
      <c r="K75" s="169"/>
      <c r="L75" s="169"/>
      <c r="M75" s="169"/>
      <c r="N75" s="169"/>
      <c r="O75" s="169"/>
      <c r="P75" s="176"/>
      <c r="Q75" s="176"/>
      <c r="R75" s="176"/>
      <c r="S75" s="176"/>
      <c r="T75" s="176"/>
      <c r="U75" s="176"/>
      <c r="V75" s="176"/>
      <c r="W75" s="176"/>
      <c r="X75" s="176"/>
      <c r="Y75" s="176"/>
      <c r="Z75" s="176"/>
    </row>
    <row r="76" ht="14.25" customHeight="1">
      <c r="A76" s="169"/>
      <c r="B76" s="188"/>
      <c r="C76" s="169"/>
      <c r="D76" s="169"/>
      <c r="E76" s="169"/>
      <c r="F76" s="169"/>
      <c r="G76" s="169"/>
      <c r="H76" s="169"/>
      <c r="I76" s="169"/>
      <c r="J76" s="169"/>
      <c r="K76" s="169"/>
      <c r="L76" s="169"/>
      <c r="M76" s="169"/>
      <c r="N76" s="169"/>
      <c r="O76" s="169"/>
      <c r="P76" s="176"/>
      <c r="Q76" s="176"/>
      <c r="R76" s="176"/>
      <c r="S76" s="176"/>
      <c r="T76" s="176"/>
      <c r="U76" s="176"/>
      <c r="V76" s="176"/>
      <c r="W76" s="176"/>
      <c r="X76" s="176"/>
      <c r="Y76" s="176"/>
      <c r="Z76" s="176"/>
    </row>
    <row r="77" ht="14.25" customHeight="1">
      <c r="A77" s="169"/>
      <c r="B77" s="188"/>
      <c r="C77" s="169"/>
      <c r="D77" s="169"/>
      <c r="E77" s="169"/>
      <c r="F77" s="169"/>
      <c r="G77" s="169"/>
      <c r="H77" s="169"/>
      <c r="I77" s="169"/>
      <c r="J77" s="169"/>
      <c r="K77" s="169"/>
      <c r="L77" s="169"/>
      <c r="M77" s="169"/>
      <c r="N77" s="169"/>
      <c r="O77" s="169"/>
      <c r="P77" s="176"/>
      <c r="Q77" s="176"/>
      <c r="R77" s="176"/>
      <c r="S77" s="176"/>
      <c r="T77" s="176"/>
      <c r="U77" s="176"/>
      <c r="V77" s="176"/>
      <c r="W77" s="176"/>
      <c r="X77" s="176"/>
      <c r="Y77" s="176"/>
      <c r="Z77" s="176"/>
    </row>
    <row r="78" ht="14.25" customHeight="1">
      <c r="A78" s="169"/>
      <c r="B78" s="188"/>
      <c r="C78" s="169"/>
      <c r="D78" s="169"/>
      <c r="E78" s="169"/>
      <c r="F78" s="169"/>
      <c r="G78" s="169"/>
      <c r="H78" s="169"/>
      <c r="I78" s="169"/>
      <c r="J78" s="169"/>
      <c r="K78" s="169"/>
      <c r="L78" s="169"/>
      <c r="M78" s="169"/>
      <c r="N78" s="169"/>
      <c r="O78" s="169"/>
      <c r="P78" s="176"/>
      <c r="Q78" s="176"/>
      <c r="R78" s="176"/>
      <c r="S78" s="176"/>
      <c r="T78" s="176"/>
      <c r="U78" s="176"/>
      <c r="V78" s="176"/>
      <c r="W78" s="176"/>
      <c r="X78" s="176"/>
      <c r="Y78" s="176"/>
      <c r="Z78" s="176"/>
    </row>
    <row r="79" ht="14.25" customHeight="1">
      <c r="A79" s="169"/>
      <c r="B79" s="188"/>
      <c r="C79" s="169"/>
      <c r="D79" s="169"/>
      <c r="E79" s="169"/>
      <c r="F79" s="169"/>
      <c r="G79" s="169"/>
      <c r="H79" s="169"/>
      <c r="I79" s="169"/>
      <c r="J79" s="169"/>
      <c r="K79" s="169"/>
      <c r="L79" s="169"/>
      <c r="M79" s="169"/>
      <c r="N79" s="169"/>
      <c r="O79" s="169"/>
      <c r="P79" s="176"/>
      <c r="Q79" s="176"/>
      <c r="R79" s="176"/>
      <c r="S79" s="176"/>
      <c r="T79" s="176"/>
      <c r="U79" s="176"/>
      <c r="V79" s="176"/>
      <c r="W79" s="176"/>
      <c r="X79" s="176"/>
      <c r="Y79" s="176"/>
      <c r="Z79" s="176"/>
    </row>
    <row r="80" ht="14.25" customHeight="1">
      <c r="A80" s="169"/>
      <c r="B80" s="188"/>
      <c r="C80" s="169"/>
      <c r="D80" s="169"/>
      <c r="E80" s="169"/>
      <c r="F80" s="169"/>
      <c r="G80" s="169"/>
      <c r="H80" s="169"/>
      <c r="I80" s="169"/>
      <c r="J80" s="169"/>
      <c r="K80" s="169"/>
      <c r="L80" s="169"/>
      <c r="M80" s="169"/>
      <c r="N80" s="169"/>
      <c r="O80" s="169"/>
      <c r="P80" s="176"/>
      <c r="Q80" s="176"/>
      <c r="R80" s="176"/>
      <c r="S80" s="176"/>
      <c r="T80" s="176"/>
      <c r="U80" s="176"/>
      <c r="V80" s="176"/>
      <c r="W80" s="176"/>
      <c r="X80" s="176"/>
      <c r="Y80" s="176"/>
      <c r="Z80" s="176"/>
    </row>
    <row r="81" ht="14.25" customHeight="1">
      <c r="A81" s="169"/>
      <c r="B81" s="188"/>
      <c r="C81" s="169"/>
      <c r="D81" s="169"/>
      <c r="E81" s="169"/>
      <c r="F81" s="169"/>
      <c r="G81" s="169"/>
      <c r="H81" s="169"/>
      <c r="I81" s="169"/>
      <c r="J81" s="169"/>
      <c r="K81" s="169"/>
      <c r="L81" s="169"/>
      <c r="M81" s="169"/>
      <c r="N81" s="169"/>
      <c r="O81" s="169"/>
      <c r="P81" s="176"/>
      <c r="Q81" s="176"/>
      <c r="R81" s="176"/>
      <c r="S81" s="176"/>
      <c r="T81" s="176"/>
      <c r="U81" s="176"/>
      <c r="V81" s="176"/>
      <c r="W81" s="176"/>
      <c r="X81" s="176"/>
      <c r="Y81" s="176"/>
      <c r="Z81" s="176"/>
    </row>
    <row r="82" ht="14.25" customHeight="1">
      <c r="A82" s="169"/>
      <c r="B82" s="188"/>
      <c r="C82" s="169"/>
      <c r="D82" s="169"/>
      <c r="E82" s="169"/>
      <c r="F82" s="169"/>
      <c r="G82" s="169"/>
      <c r="H82" s="169"/>
      <c r="I82" s="169"/>
      <c r="J82" s="169"/>
      <c r="K82" s="169"/>
      <c r="L82" s="169"/>
      <c r="M82" s="169"/>
      <c r="N82" s="169"/>
      <c r="O82" s="169"/>
      <c r="P82" s="176"/>
      <c r="Q82" s="176"/>
      <c r="R82" s="176"/>
      <c r="S82" s="176"/>
      <c r="T82" s="176"/>
      <c r="U82" s="176"/>
      <c r="V82" s="176"/>
      <c r="W82" s="176"/>
      <c r="X82" s="176"/>
      <c r="Y82" s="176"/>
      <c r="Z82" s="176"/>
    </row>
    <row r="83" ht="14.25" customHeight="1">
      <c r="A83" s="169"/>
      <c r="B83" s="188"/>
      <c r="C83" s="169"/>
      <c r="D83" s="169"/>
      <c r="E83" s="169"/>
      <c r="F83" s="169"/>
      <c r="G83" s="169"/>
      <c r="H83" s="169"/>
      <c r="I83" s="169"/>
      <c r="J83" s="169"/>
      <c r="K83" s="169"/>
      <c r="L83" s="169"/>
      <c r="M83" s="169"/>
      <c r="N83" s="169"/>
      <c r="O83" s="169"/>
      <c r="P83" s="176"/>
      <c r="Q83" s="176"/>
      <c r="R83" s="176"/>
      <c r="S83" s="176"/>
      <c r="T83" s="176"/>
      <c r="U83" s="176"/>
      <c r="V83" s="176"/>
      <c r="W83" s="176"/>
      <c r="X83" s="176"/>
      <c r="Y83" s="176"/>
      <c r="Z83" s="176"/>
    </row>
    <row r="84" ht="14.25" customHeight="1">
      <c r="A84" s="169"/>
      <c r="B84" s="188"/>
      <c r="C84" s="169"/>
      <c r="D84" s="169"/>
      <c r="E84" s="169"/>
      <c r="F84" s="169"/>
      <c r="G84" s="169"/>
      <c r="H84" s="169"/>
      <c r="I84" s="169"/>
      <c r="J84" s="169"/>
      <c r="K84" s="169"/>
      <c r="L84" s="169"/>
      <c r="M84" s="169"/>
      <c r="N84" s="169"/>
      <c r="O84" s="169"/>
      <c r="P84" s="176"/>
      <c r="Q84" s="176"/>
      <c r="R84" s="176"/>
      <c r="S84" s="176"/>
      <c r="T84" s="176"/>
      <c r="U84" s="176"/>
      <c r="V84" s="176"/>
      <c r="W84" s="176"/>
      <c r="X84" s="176"/>
      <c r="Y84" s="176"/>
      <c r="Z84" s="176"/>
    </row>
    <row r="85" ht="14.25" customHeight="1">
      <c r="A85" s="169"/>
      <c r="B85" s="188"/>
      <c r="C85" s="169"/>
      <c r="D85" s="169"/>
      <c r="E85" s="169"/>
      <c r="F85" s="169"/>
      <c r="G85" s="169"/>
      <c r="H85" s="169"/>
      <c r="I85" s="169"/>
      <c r="J85" s="169"/>
      <c r="K85" s="169"/>
      <c r="L85" s="169"/>
      <c r="M85" s="169"/>
      <c r="N85" s="169"/>
      <c r="O85" s="169"/>
      <c r="P85" s="176"/>
      <c r="Q85" s="176"/>
      <c r="R85" s="176"/>
      <c r="S85" s="176"/>
      <c r="T85" s="176"/>
      <c r="U85" s="176"/>
      <c r="V85" s="176"/>
      <c r="W85" s="176"/>
      <c r="X85" s="176"/>
      <c r="Y85" s="176"/>
      <c r="Z85" s="176"/>
    </row>
    <row r="86" ht="14.25" customHeight="1">
      <c r="A86" s="169"/>
      <c r="B86" s="188"/>
      <c r="C86" s="169"/>
      <c r="D86" s="169"/>
      <c r="E86" s="169"/>
      <c r="F86" s="169"/>
      <c r="G86" s="169"/>
      <c r="H86" s="169"/>
      <c r="I86" s="169"/>
      <c r="J86" s="169"/>
      <c r="K86" s="169"/>
      <c r="L86" s="169"/>
      <c r="M86" s="169"/>
      <c r="N86" s="169"/>
      <c r="O86" s="169"/>
      <c r="P86" s="176"/>
      <c r="Q86" s="176"/>
      <c r="R86" s="176"/>
      <c r="S86" s="176"/>
      <c r="T86" s="176"/>
      <c r="U86" s="176"/>
      <c r="V86" s="176"/>
      <c r="W86" s="176"/>
      <c r="X86" s="176"/>
      <c r="Y86" s="176"/>
      <c r="Z86" s="176"/>
    </row>
    <row r="87" ht="14.25" customHeight="1">
      <c r="A87" s="169"/>
      <c r="B87" s="188"/>
      <c r="C87" s="169"/>
      <c r="D87" s="169"/>
      <c r="E87" s="169"/>
      <c r="F87" s="169"/>
      <c r="G87" s="169"/>
      <c r="H87" s="169"/>
      <c r="I87" s="169"/>
      <c r="J87" s="169"/>
      <c r="K87" s="169"/>
      <c r="L87" s="169"/>
      <c r="M87" s="169"/>
      <c r="N87" s="169"/>
      <c r="O87" s="169"/>
      <c r="P87" s="176"/>
      <c r="Q87" s="176"/>
      <c r="R87" s="176"/>
      <c r="S87" s="176"/>
      <c r="T87" s="176"/>
      <c r="U87" s="176"/>
      <c r="V87" s="176"/>
      <c r="W87" s="176"/>
      <c r="X87" s="176"/>
      <c r="Y87" s="176"/>
      <c r="Z87" s="176"/>
    </row>
    <row r="88" ht="14.25" customHeight="1">
      <c r="A88" s="169"/>
      <c r="B88" s="188"/>
      <c r="C88" s="169"/>
      <c r="D88" s="169"/>
      <c r="E88" s="169"/>
      <c r="F88" s="169"/>
      <c r="G88" s="169"/>
      <c r="H88" s="169"/>
      <c r="I88" s="169"/>
      <c r="J88" s="169"/>
      <c r="K88" s="169"/>
      <c r="L88" s="169"/>
      <c r="M88" s="169"/>
      <c r="N88" s="169"/>
      <c r="O88" s="169"/>
      <c r="P88" s="176"/>
      <c r="Q88" s="176"/>
      <c r="R88" s="176"/>
      <c r="S88" s="176"/>
      <c r="T88" s="176"/>
      <c r="U88" s="176"/>
      <c r="V88" s="176"/>
      <c r="W88" s="176"/>
      <c r="X88" s="176"/>
      <c r="Y88" s="176"/>
      <c r="Z88" s="176"/>
    </row>
    <row r="89" ht="14.25" customHeight="1">
      <c r="A89" s="169"/>
      <c r="B89" s="188"/>
      <c r="C89" s="169"/>
      <c r="D89" s="169"/>
      <c r="E89" s="169"/>
      <c r="F89" s="169"/>
      <c r="G89" s="169"/>
      <c r="H89" s="169"/>
      <c r="I89" s="169"/>
      <c r="J89" s="169"/>
      <c r="K89" s="169"/>
      <c r="L89" s="169"/>
      <c r="M89" s="169"/>
      <c r="N89" s="169"/>
      <c r="O89" s="169"/>
      <c r="P89" s="176"/>
      <c r="Q89" s="176"/>
      <c r="R89" s="176"/>
      <c r="S89" s="176"/>
      <c r="T89" s="176"/>
      <c r="U89" s="176"/>
      <c r="V89" s="176"/>
      <c r="W89" s="176"/>
      <c r="X89" s="176"/>
      <c r="Y89" s="176"/>
      <c r="Z89" s="176"/>
    </row>
    <row r="90" ht="14.25" customHeight="1">
      <c r="A90" s="169"/>
      <c r="B90" s="188"/>
      <c r="C90" s="169"/>
      <c r="D90" s="169"/>
      <c r="E90" s="169"/>
      <c r="F90" s="169"/>
      <c r="G90" s="169"/>
      <c r="H90" s="169"/>
      <c r="I90" s="169"/>
      <c r="J90" s="169"/>
      <c r="K90" s="169"/>
      <c r="L90" s="169"/>
      <c r="M90" s="169"/>
      <c r="N90" s="169"/>
      <c r="O90" s="169"/>
      <c r="P90" s="176"/>
      <c r="Q90" s="176"/>
      <c r="R90" s="176"/>
      <c r="S90" s="176"/>
      <c r="T90" s="176"/>
      <c r="U90" s="176"/>
      <c r="V90" s="176"/>
      <c r="W90" s="176"/>
      <c r="X90" s="176"/>
      <c r="Y90" s="176"/>
      <c r="Z90" s="176"/>
    </row>
    <row r="91" ht="14.25" customHeight="1">
      <c r="A91" s="169"/>
      <c r="B91" s="188"/>
      <c r="C91" s="169"/>
      <c r="D91" s="169"/>
      <c r="E91" s="169"/>
      <c r="F91" s="169"/>
      <c r="G91" s="169"/>
      <c r="H91" s="169"/>
      <c r="I91" s="169"/>
      <c r="J91" s="169"/>
      <c r="K91" s="169"/>
      <c r="L91" s="169"/>
      <c r="M91" s="169"/>
      <c r="N91" s="169"/>
      <c r="O91" s="169"/>
      <c r="P91" s="176"/>
      <c r="Q91" s="176"/>
      <c r="R91" s="176"/>
      <c r="S91" s="176"/>
      <c r="T91" s="176"/>
      <c r="U91" s="176"/>
      <c r="V91" s="176"/>
      <c r="W91" s="176"/>
      <c r="X91" s="176"/>
      <c r="Y91" s="176"/>
      <c r="Z91" s="176"/>
    </row>
    <row r="92" ht="14.25" customHeight="1">
      <c r="A92" s="169"/>
      <c r="B92" s="188"/>
      <c r="C92" s="169"/>
      <c r="D92" s="169"/>
      <c r="E92" s="169"/>
      <c r="F92" s="169"/>
      <c r="G92" s="169"/>
      <c r="H92" s="169"/>
      <c r="I92" s="169"/>
      <c r="J92" s="169"/>
      <c r="K92" s="169"/>
      <c r="L92" s="169"/>
      <c r="M92" s="169"/>
      <c r="N92" s="169"/>
      <c r="O92" s="169"/>
      <c r="P92" s="176"/>
      <c r="Q92" s="176"/>
      <c r="R92" s="176"/>
      <c r="S92" s="176"/>
      <c r="T92" s="176"/>
      <c r="U92" s="176"/>
      <c r="V92" s="176"/>
      <c r="W92" s="176"/>
      <c r="X92" s="176"/>
      <c r="Y92" s="176"/>
      <c r="Z92" s="176"/>
    </row>
    <row r="93" ht="14.25" customHeight="1">
      <c r="A93" s="169"/>
      <c r="B93" s="188"/>
      <c r="C93" s="169"/>
      <c r="D93" s="169"/>
      <c r="E93" s="169"/>
      <c r="F93" s="169"/>
      <c r="G93" s="169"/>
      <c r="H93" s="169"/>
      <c r="I93" s="169"/>
      <c r="J93" s="169"/>
      <c r="K93" s="169"/>
      <c r="L93" s="169"/>
      <c r="M93" s="169"/>
      <c r="N93" s="169"/>
      <c r="O93" s="169"/>
      <c r="P93" s="176"/>
      <c r="Q93" s="176"/>
      <c r="R93" s="176"/>
      <c r="S93" s="176"/>
      <c r="T93" s="176"/>
      <c r="U93" s="176"/>
      <c r="V93" s="176"/>
      <c r="W93" s="176"/>
      <c r="X93" s="176"/>
      <c r="Y93" s="176"/>
      <c r="Z93" s="176"/>
    </row>
    <row r="94" ht="14.25" customHeight="1">
      <c r="A94" s="169"/>
      <c r="B94" s="188"/>
      <c r="C94" s="169"/>
      <c r="D94" s="169"/>
      <c r="E94" s="169"/>
      <c r="F94" s="169"/>
      <c r="G94" s="169"/>
      <c r="H94" s="169"/>
      <c r="I94" s="169"/>
      <c r="J94" s="169"/>
      <c r="K94" s="169"/>
      <c r="L94" s="169"/>
      <c r="M94" s="169"/>
      <c r="N94" s="169"/>
      <c r="O94" s="169"/>
      <c r="P94" s="176"/>
      <c r="Q94" s="176"/>
      <c r="R94" s="176"/>
      <c r="S94" s="176"/>
      <c r="T94" s="176"/>
      <c r="U94" s="176"/>
      <c r="V94" s="176"/>
      <c r="W94" s="176"/>
      <c r="X94" s="176"/>
      <c r="Y94" s="176"/>
      <c r="Z94" s="176"/>
    </row>
    <row r="95" ht="14.25" customHeight="1">
      <c r="A95" s="169"/>
      <c r="B95" s="249"/>
      <c r="C95" s="169"/>
      <c r="D95" s="169"/>
      <c r="E95" s="169"/>
      <c r="F95" s="169"/>
      <c r="G95" s="169"/>
      <c r="H95" s="169"/>
      <c r="I95" s="169"/>
      <c r="J95" s="169"/>
      <c r="K95" s="169"/>
      <c r="L95" s="169"/>
      <c r="M95" s="169"/>
      <c r="N95" s="169"/>
      <c r="O95" s="169"/>
      <c r="P95" s="176"/>
      <c r="Q95" s="176"/>
      <c r="R95" s="176"/>
      <c r="S95" s="176"/>
      <c r="T95" s="176"/>
      <c r="U95" s="176"/>
      <c r="V95" s="176"/>
      <c r="W95" s="176"/>
      <c r="X95" s="176"/>
      <c r="Y95" s="176"/>
      <c r="Z95" s="176"/>
    </row>
    <row r="96" ht="14.25" customHeight="1">
      <c r="A96" s="169"/>
      <c r="B96" s="249"/>
      <c r="C96" s="169"/>
      <c r="D96" s="169"/>
      <c r="E96" s="169"/>
      <c r="F96" s="169"/>
      <c r="G96" s="169"/>
      <c r="H96" s="169"/>
      <c r="I96" s="169"/>
      <c r="J96" s="169"/>
      <c r="K96" s="169"/>
      <c r="L96" s="169"/>
      <c r="M96" s="169"/>
      <c r="N96" s="169"/>
      <c r="O96" s="169"/>
      <c r="P96" s="176"/>
      <c r="Q96" s="176"/>
      <c r="R96" s="176"/>
      <c r="S96" s="176"/>
      <c r="T96" s="176"/>
      <c r="U96" s="176"/>
      <c r="V96" s="176"/>
      <c r="W96" s="176"/>
      <c r="X96" s="176"/>
      <c r="Y96" s="176"/>
      <c r="Z96" s="176"/>
    </row>
    <row r="97" ht="14.25" customHeight="1">
      <c r="A97" s="169"/>
      <c r="B97" s="260"/>
      <c r="C97" s="169"/>
      <c r="D97" s="169"/>
      <c r="E97" s="169"/>
      <c r="F97" s="169"/>
      <c r="G97" s="169"/>
      <c r="H97" s="169"/>
      <c r="I97" s="169"/>
      <c r="J97" s="169"/>
      <c r="K97" s="169"/>
      <c r="L97" s="169"/>
      <c r="M97" s="169"/>
      <c r="N97" s="169"/>
      <c r="O97" s="169"/>
      <c r="P97" s="176"/>
      <c r="Q97" s="176"/>
      <c r="R97" s="176"/>
      <c r="S97" s="176"/>
      <c r="T97" s="176"/>
      <c r="U97" s="176"/>
      <c r="V97" s="176"/>
      <c r="W97" s="176"/>
      <c r="X97" s="176"/>
      <c r="Y97" s="176"/>
      <c r="Z97" s="176"/>
    </row>
    <row r="98" ht="14.25" customHeight="1">
      <c r="A98" s="169"/>
      <c r="B98" s="260"/>
      <c r="C98" s="169"/>
      <c r="D98" s="169"/>
      <c r="E98" s="169"/>
      <c r="F98" s="169"/>
      <c r="G98" s="169"/>
      <c r="H98" s="169"/>
      <c r="I98" s="169"/>
      <c r="J98" s="169"/>
      <c r="K98" s="169"/>
      <c r="L98" s="169"/>
      <c r="M98" s="169"/>
      <c r="N98" s="169"/>
      <c r="O98" s="169"/>
      <c r="P98" s="176"/>
      <c r="Q98" s="176"/>
      <c r="R98" s="176"/>
      <c r="S98" s="176"/>
      <c r="T98" s="176"/>
      <c r="U98" s="176"/>
      <c r="V98" s="176"/>
      <c r="W98" s="176"/>
      <c r="X98" s="176"/>
      <c r="Y98" s="176"/>
      <c r="Z98" s="176"/>
    </row>
    <row r="99" ht="14.25" customHeight="1">
      <c r="A99" s="169"/>
      <c r="B99" s="188"/>
      <c r="C99" s="169"/>
      <c r="D99" s="169"/>
      <c r="E99" s="169"/>
      <c r="F99" s="169"/>
      <c r="G99" s="169"/>
      <c r="H99" s="169"/>
      <c r="I99" s="169"/>
      <c r="J99" s="169"/>
      <c r="K99" s="169"/>
      <c r="L99" s="169"/>
      <c r="M99" s="169"/>
      <c r="N99" s="169"/>
      <c r="O99" s="169"/>
      <c r="P99" s="176"/>
      <c r="Q99" s="176"/>
      <c r="R99" s="176"/>
      <c r="S99" s="176"/>
      <c r="T99" s="176"/>
      <c r="U99" s="176"/>
      <c r="V99" s="176"/>
      <c r="W99" s="176"/>
      <c r="X99" s="176"/>
      <c r="Y99" s="176"/>
      <c r="Z99" s="176"/>
    </row>
    <row r="100" ht="14.25" customHeight="1">
      <c r="A100" s="169"/>
      <c r="B100" s="260"/>
      <c r="C100" s="169"/>
      <c r="D100" s="169"/>
      <c r="E100" s="169"/>
      <c r="F100" s="169"/>
      <c r="G100" s="169"/>
      <c r="H100" s="169"/>
      <c r="I100" s="169"/>
      <c r="J100" s="169"/>
      <c r="K100" s="169"/>
      <c r="L100" s="169"/>
      <c r="M100" s="169"/>
      <c r="N100" s="169"/>
      <c r="O100" s="169"/>
      <c r="P100" s="176"/>
      <c r="Q100" s="176"/>
      <c r="R100" s="176"/>
      <c r="S100" s="176"/>
      <c r="T100" s="176"/>
      <c r="U100" s="176"/>
      <c r="V100" s="176"/>
      <c r="W100" s="176"/>
      <c r="X100" s="176"/>
      <c r="Y100" s="176"/>
      <c r="Z100" s="176"/>
    </row>
    <row r="101" ht="14.25" customHeight="1">
      <c r="A101" s="169"/>
      <c r="B101" s="260"/>
      <c r="C101" s="169"/>
      <c r="D101" s="169"/>
      <c r="E101" s="169"/>
      <c r="F101" s="169"/>
      <c r="G101" s="169"/>
      <c r="H101" s="169"/>
      <c r="I101" s="169"/>
      <c r="J101" s="169"/>
      <c r="K101" s="169"/>
      <c r="L101" s="169"/>
      <c r="M101" s="169"/>
      <c r="N101" s="169"/>
      <c r="O101" s="169"/>
      <c r="P101" s="176"/>
      <c r="Q101" s="176"/>
      <c r="R101" s="176"/>
      <c r="S101" s="176"/>
      <c r="T101" s="176"/>
      <c r="U101" s="176"/>
      <c r="V101" s="176"/>
      <c r="W101" s="176"/>
      <c r="X101" s="176"/>
      <c r="Y101" s="176"/>
      <c r="Z101" s="176"/>
    </row>
    <row r="102" ht="14.25" customHeight="1">
      <c r="A102" s="169"/>
      <c r="B102" s="260"/>
      <c r="C102" s="169"/>
      <c r="D102" s="169"/>
      <c r="E102" s="169"/>
      <c r="F102" s="169"/>
      <c r="G102" s="169"/>
      <c r="H102" s="169"/>
      <c r="I102" s="169"/>
      <c r="J102" s="169"/>
      <c r="K102" s="169"/>
      <c r="L102" s="169"/>
      <c r="M102" s="169"/>
      <c r="N102" s="169"/>
      <c r="O102" s="169"/>
      <c r="P102" s="176"/>
      <c r="Q102" s="176"/>
      <c r="R102" s="176"/>
      <c r="S102" s="176"/>
      <c r="T102" s="176"/>
      <c r="U102" s="176"/>
      <c r="V102" s="176"/>
      <c r="W102" s="176"/>
      <c r="X102" s="176"/>
      <c r="Y102" s="176"/>
      <c r="Z102" s="176"/>
    </row>
    <row r="103" ht="14.25" customHeight="1">
      <c r="A103" s="169"/>
      <c r="B103" s="249"/>
      <c r="C103" s="169"/>
      <c r="D103" s="169"/>
      <c r="E103" s="169"/>
      <c r="F103" s="169"/>
      <c r="G103" s="169"/>
      <c r="H103" s="169"/>
      <c r="I103" s="169"/>
      <c r="J103" s="169"/>
      <c r="K103" s="169"/>
      <c r="L103" s="169"/>
      <c r="M103" s="169"/>
      <c r="N103" s="169"/>
      <c r="O103" s="169"/>
      <c r="P103" s="176"/>
      <c r="Q103" s="176"/>
      <c r="R103" s="176"/>
      <c r="S103" s="176"/>
      <c r="T103" s="176"/>
      <c r="U103" s="176"/>
      <c r="V103" s="176"/>
      <c r="W103" s="176"/>
      <c r="X103" s="176"/>
      <c r="Y103" s="176"/>
      <c r="Z103" s="176"/>
    </row>
    <row r="104" ht="14.25" customHeight="1">
      <c r="A104" s="169"/>
      <c r="B104" s="260"/>
      <c r="C104" s="169"/>
      <c r="D104" s="169"/>
      <c r="E104" s="169"/>
      <c r="F104" s="169"/>
      <c r="G104" s="169"/>
      <c r="H104" s="169"/>
      <c r="I104" s="169"/>
      <c r="J104" s="169"/>
      <c r="K104" s="169"/>
      <c r="L104" s="169"/>
      <c r="M104" s="169"/>
      <c r="N104" s="169"/>
      <c r="O104" s="169"/>
      <c r="P104" s="176"/>
      <c r="Q104" s="176"/>
      <c r="R104" s="176"/>
      <c r="S104" s="176"/>
      <c r="T104" s="176"/>
      <c r="U104" s="176"/>
      <c r="V104" s="176"/>
      <c r="W104" s="176"/>
      <c r="X104" s="176"/>
      <c r="Y104" s="176"/>
      <c r="Z104" s="176"/>
    </row>
    <row r="105" ht="14.25" customHeight="1">
      <c r="A105" s="169"/>
      <c r="B105" s="188"/>
      <c r="C105" s="169"/>
      <c r="D105" s="169"/>
      <c r="E105" s="169"/>
      <c r="F105" s="169"/>
      <c r="G105" s="169"/>
      <c r="H105" s="169"/>
      <c r="I105" s="169"/>
      <c r="J105" s="169"/>
      <c r="K105" s="169"/>
      <c r="L105" s="169"/>
      <c r="M105" s="169"/>
      <c r="N105" s="169"/>
      <c r="O105" s="169"/>
      <c r="P105" s="176"/>
      <c r="Q105" s="176"/>
      <c r="R105" s="176"/>
      <c r="S105" s="176"/>
      <c r="T105" s="176"/>
      <c r="U105" s="176"/>
      <c r="V105" s="176"/>
      <c r="W105" s="176"/>
      <c r="X105" s="176"/>
      <c r="Y105" s="176"/>
      <c r="Z105" s="176"/>
    </row>
    <row r="106" ht="14.25" customHeight="1">
      <c r="A106" s="169"/>
      <c r="B106" s="249"/>
      <c r="C106" s="169"/>
      <c r="D106" s="169"/>
      <c r="E106" s="169"/>
      <c r="F106" s="169"/>
      <c r="G106" s="169"/>
      <c r="H106" s="169"/>
      <c r="I106" s="169"/>
      <c r="J106" s="169"/>
      <c r="K106" s="169"/>
      <c r="L106" s="169"/>
      <c r="M106" s="169"/>
      <c r="N106" s="169"/>
      <c r="O106" s="169"/>
      <c r="P106" s="176"/>
      <c r="Q106" s="176"/>
      <c r="R106" s="176"/>
      <c r="S106" s="176"/>
      <c r="T106" s="176"/>
      <c r="U106" s="176"/>
      <c r="V106" s="176"/>
      <c r="W106" s="176"/>
      <c r="X106" s="176"/>
      <c r="Y106" s="176"/>
      <c r="Z106" s="176"/>
    </row>
    <row r="107" ht="14.25" customHeight="1">
      <c r="A107" s="169"/>
      <c r="B107" s="188"/>
      <c r="C107" s="169"/>
      <c r="D107" s="169"/>
      <c r="E107" s="169"/>
      <c r="F107" s="169"/>
      <c r="G107" s="169"/>
      <c r="H107" s="169"/>
      <c r="I107" s="169"/>
      <c r="J107" s="169"/>
      <c r="K107" s="169"/>
      <c r="L107" s="169"/>
      <c r="M107" s="169"/>
      <c r="N107" s="169"/>
      <c r="O107" s="169"/>
      <c r="P107" s="176"/>
      <c r="Q107" s="176"/>
      <c r="R107" s="176"/>
      <c r="S107" s="176"/>
      <c r="T107" s="176"/>
      <c r="U107" s="176"/>
      <c r="V107" s="176"/>
      <c r="W107" s="176"/>
      <c r="X107" s="176"/>
      <c r="Y107" s="176"/>
      <c r="Z107" s="176"/>
    </row>
    <row r="108" ht="14.25" customHeight="1">
      <c r="A108" s="169"/>
      <c r="B108" s="260"/>
      <c r="C108" s="169"/>
      <c r="D108" s="169"/>
      <c r="E108" s="169"/>
      <c r="F108" s="169"/>
      <c r="G108" s="169"/>
      <c r="H108" s="169"/>
      <c r="I108" s="169"/>
      <c r="J108" s="169"/>
      <c r="K108" s="169"/>
      <c r="L108" s="169"/>
      <c r="M108" s="169"/>
      <c r="N108" s="169"/>
      <c r="O108" s="169"/>
      <c r="P108" s="176"/>
      <c r="Q108" s="176"/>
      <c r="R108" s="176"/>
      <c r="S108" s="176"/>
      <c r="T108" s="176"/>
      <c r="U108" s="176"/>
      <c r="V108" s="176"/>
      <c r="W108" s="176"/>
      <c r="X108" s="176"/>
      <c r="Y108" s="176"/>
      <c r="Z108" s="176"/>
    </row>
    <row r="109" ht="14.25" customHeight="1">
      <c r="A109" s="169"/>
      <c r="B109" s="188"/>
      <c r="C109" s="169"/>
      <c r="D109" s="169"/>
      <c r="E109" s="169"/>
      <c r="F109" s="169"/>
      <c r="G109" s="169"/>
      <c r="H109" s="169"/>
      <c r="I109" s="169"/>
      <c r="J109" s="169"/>
      <c r="K109" s="169"/>
      <c r="L109" s="169"/>
      <c r="M109" s="169"/>
      <c r="N109" s="169"/>
      <c r="O109" s="169"/>
      <c r="P109" s="176"/>
      <c r="Q109" s="176"/>
      <c r="R109" s="176"/>
      <c r="S109" s="176"/>
      <c r="T109" s="176"/>
      <c r="U109" s="176"/>
      <c r="V109" s="176"/>
      <c r="W109" s="176"/>
      <c r="X109" s="176"/>
      <c r="Y109" s="176"/>
      <c r="Z109" s="176"/>
    </row>
    <row r="110" ht="14.25" customHeight="1">
      <c r="A110" s="169"/>
      <c r="B110" s="260"/>
      <c r="C110" s="169"/>
      <c r="D110" s="169"/>
      <c r="E110" s="169"/>
      <c r="F110" s="169"/>
      <c r="G110" s="169"/>
      <c r="H110" s="169"/>
      <c r="I110" s="169"/>
      <c r="J110" s="169"/>
      <c r="K110" s="169"/>
      <c r="L110" s="169"/>
      <c r="M110" s="169"/>
      <c r="N110" s="169"/>
      <c r="O110" s="169"/>
      <c r="P110" s="176"/>
      <c r="Q110" s="176"/>
      <c r="R110" s="176"/>
      <c r="S110" s="176"/>
      <c r="T110" s="176"/>
      <c r="U110" s="176"/>
      <c r="V110" s="176"/>
      <c r="W110" s="176"/>
      <c r="X110" s="176"/>
      <c r="Y110" s="176"/>
      <c r="Z110" s="176"/>
    </row>
    <row r="111" ht="14.25" customHeight="1">
      <c r="A111" s="169"/>
      <c r="B111" s="188"/>
      <c r="C111" s="169"/>
      <c r="D111" s="169"/>
      <c r="E111" s="169"/>
      <c r="F111" s="169"/>
      <c r="G111" s="169"/>
      <c r="H111" s="169"/>
      <c r="I111" s="169"/>
      <c r="J111" s="169"/>
      <c r="K111" s="169"/>
      <c r="L111" s="169"/>
      <c r="M111" s="169"/>
      <c r="N111" s="169"/>
      <c r="O111" s="169"/>
      <c r="P111" s="176"/>
      <c r="Q111" s="176"/>
      <c r="R111" s="176"/>
      <c r="S111" s="176"/>
      <c r="T111" s="176"/>
      <c r="U111" s="176"/>
      <c r="V111" s="176"/>
      <c r="W111" s="176"/>
      <c r="X111" s="176"/>
      <c r="Y111" s="176"/>
      <c r="Z111" s="176"/>
    </row>
    <row r="112" ht="14.25" customHeight="1">
      <c r="A112" s="169"/>
      <c r="B112" s="188"/>
      <c r="C112" s="169"/>
      <c r="D112" s="169"/>
      <c r="E112" s="169"/>
      <c r="F112" s="169"/>
      <c r="G112" s="169"/>
      <c r="H112" s="169"/>
      <c r="I112" s="169"/>
      <c r="J112" s="169"/>
      <c r="K112" s="169"/>
      <c r="L112" s="169"/>
      <c r="M112" s="169"/>
      <c r="N112" s="169"/>
      <c r="O112" s="169"/>
      <c r="P112" s="176"/>
      <c r="Q112" s="176"/>
      <c r="R112" s="176"/>
      <c r="S112" s="176"/>
      <c r="T112" s="176"/>
      <c r="U112" s="176"/>
      <c r="V112" s="176"/>
      <c r="W112" s="176"/>
      <c r="X112" s="176"/>
      <c r="Y112" s="176"/>
      <c r="Z112" s="176"/>
    </row>
    <row r="113" ht="14.25" customHeight="1">
      <c r="A113" s="169"/>
      <c r="B113" s="188"/>
      <c r="C113" s="169"/>
      <c r="D113" s="169"/>
      <c r="E113" s="169"/>
      <c r="F113" s="169"/>
      <c r="G113" s="169"/>
      <c r="H113" s="169"/>
      <c r="I113" s="169"/>
      <c r="J113" s="169"/>
      <c r="K113" s="169"/>
      <c r="L113" s="169"/>
      <c r="M113" s="169"/>
      <c r="N113" s="169"/>
      <c r="O113" s="169"/>
      <c r="P113" s="176"/>
      <c r="Q113" s="176"/>
      <c r="R113" s="176"/>
      <c r="S113" s="176"/>
      <c r="T113" s="176"/>
      <c r="U113" s="176"/>
      <c r="V113" s="176"/>
      <c r="W113" s="176"/>
      <c r="X113" s="176"/>
      <c r="Y113" s="176"/>
      <c r="Z113" s="176"/>
    </row>
    <row r="114" ht="14.25" customHeight="1">
      <c r="A114" s="169"/>
      <c r="B114" s="249"/>
      <c r="C114" s="169"/>
      <c r="D114" s="169"/>
      <c r="E114" s="169"/>
      <c r="F114" s="169"/>
      <c r="G114" s="169"/>
      <c r="H114" s="169"/>
      <c r="I114" s="169"/>
      <c r="J114" s="169"/>
      <c r="K114" s="169"/>
      <c r="L114" s="169"/>
      <c r="M114" s="169"/>
      <c r="N114" s="169"/>
      <c r="O114" s="169"/>
      <c r="P114" s="176"/>
      <c r="Q114" s="176"/>
      <c r="R114" s="176"/>
      <c r="S114" s="176"/>
      <c r="T114" s="176"/>
      <c r="U114" s="176"/>
      <c r="V114" s="176"/>
      <c r="W114" s="176"/>
      <c r="X114" s="176"/>
      <c r="Y114" s="176"/>
      <c r="Z114" s="176"/>
    </row>
    <row r="115" ht="14.25" customHeight="1">
      <c r="A115" s="169"/>
      <c r="B115" s="188"/>
      <c r="C115" s="169"/>
      <c r="D115" s="169"/>
      <c r="E115" s="169"/>
      <c r="F115" s="169"/>
      <c r="G115" s="169"/>
      <c r="H115" s="169"/>
      <c r="I115" s="169"/>
      <c r="J115" s="169"/>
      <c r="K115" s="169"/>
      <c r="L115" s="169"/>
      <c r="M115" s="169"/>
      <c r="N115" s="169"/>
      <c r="O115" s="169"/>
      <c r="P115" s="176"/>
      <c r="Q115" s="176"/>
      <c r="R115" s="176"/>
      <c r="S115" s="176"/>
      <c r="T115" s="176"/>
      <c r="U115" s="176"/>
      <c r="V115" s="176"/>
      <c r="W115" s="176"/>
      <c r="X115" s="176"/>
      <c r="Y115" s="176"/>
      <c r="Z115" s="176"/>
    </row>
    <row r="116" ht="14.25" customHeight="1">
      <c r="A116" s="169"/>
      <c r="B116" s="188"/>
      <c r="C116" s="169"/>
      <c r="D116" s="169"/>
      <c r="E116" s="169"/>
      <c r="F116" s="169"/>
      <c r="G116" s="169"/>
      <c r="H116" s="169"/>
      <c r="I116" s="169"/>
      <c r="J116" s="169"/>
      <c r="K116" s="169"/>
      <c r="L116" s="169"/>
      <c r="M116" s="169"/>
      <c r="N116" s="169"/>
      <c r="O116" s="169"/>
      <c r="P116" s="176"/>
      <c r="Q116" s="176"/>
      <c r="R116" s="176"/>
      <c r="S116" s="176"/>
      <c r="T116" s="176"/>
      <c r="U116" s="176"/>
      <c r="V116" s="176"/>
      <c r="W116" s="176"/>
      <c r="X116" s="176"/>
      <c r="Y116" s="176"/>
      <c r="Z116" s="176"/>
    </row>
    <row r="117" ht="14.25" customHeight="1">
      <c r="A117" s="169"/>
      <c r="B117" s="188"/>
      <c r="C117" s="169"/>
      <c r="D117" s="169"/>
      <c r="E117" s="169"/>
      <c r="F117" s="169"/>
      <c r="G117" s="169"/>
      <c r="H117" s="169"/>
      <c r="I117" s="169"/>
      <c r="J117" s="169"/>
      <c r="K117" s="169"/>
      <c r="L117" s="169"/>
      <c r="M117" s="169"/>
      <c r="N117" s="169"/>
      <c r="O117" s="169"/>
      <c r="P117" s="176"/>
      <c r="Q117" s="176"/>
      <c r="R117" s="176"/>
      <c r="S117" s="176"/>
      <c r="T117" s="176"/>
      <c r="U117" s="176"/>
      <c r="V117" s="176"/>
      <c r="W117" s="176"/>
      <c r="X117" s="176"/>
      <c r="Y117" s="176"/>
      <c r="Z117" s="176"/>
    </row>
    <row r="118" ht="14.25" customHeight="1">
      <c r="A118" s="169"/>
      <c r="B118" s="188"/>
      <c r="C118" s="169"/>
      <c r="D118" s="169"/>
      <c r="E118" s="169"/>
      <c r="F118" s="169"/>
      <c r="G118" s="169"/>
      <c r="H118" s="169"/>
      <c r="I118" s="169"/>
      <c r="J118" s="169"/>
      <c r="K118" s="169"/>
      <c r="L118" s="169"/>
      <c r="M118" s="169"/>
      <c r="N118" s="169"/>
      <c r="O118" s="169"/>
      <c r="P118" s="176"/>
      <c r="Q118" s="176"/>
      <c r="R118" s="176"/>
      <c r="S118" s="176"/>
      <c r="T118" s="176"/>
      <c r="U118" s="176"/>
      <c r="V118" s="176"/>
      <c r="W118" s="176"/>
      <c r="X118" s="176"/>
      <c r="Y118" s="176"/>
      <c r="Z118" s="176"/>
    </row>
    <row r="119" ht="14.25" customHeight="1">
      <c r="A119" s="169"/>
      <c r="B119" s="249"/>
      <c r="C119" s="169"/>
      <c r="D119" s="169"/>
      <c r="E119" s="169"/>
      <c r="F119" s="169"/>
      <c r="G119" s="169"/>
      <c r="H119" s="169"/>
      <c r="I119" s="169"/>
      <c r="J119" s="169"/>
      <c r="K119" s="169"/>
      <c r="L119" s="169"/>
      <c r="M119" s="169"/>
      <c r="N119" s="169"/>
      <c r="O119" s="169"/>
      <c r="P119" s="176"/>
      <c r="Q119" s="176"/>
      <c r="R119" s="176"/>
      <c r="S119" s="176"/>
      <c r="T119" s="176"/>
      <c r="U119" s="176"/>
      <c r="V119" s="176"/>
      <c r="W119" s="176"/>
      <c r="X119" s="176"/>
      <c r="Y119" s="176"/>
      <c r="Z119" s="176"/>
    </row>
    <row r="120" ht="14.25" customHeight="1">
      <c r="A120" s="169"/>
      <c r="B120" s="188"/>
      <c r="C120" s="169"/>
      <c r="D120" s="169"/>
      <c r="E120" s="169"/>
      <c r="F120" s="169"/>
      <c r="G120" s="169"/>
      <c r="H120" s="169"/>
      <c r="I120" s="169"/>
      <c r="J120" s="169"/>
      <c r="K120" s="169"/>
      <c r="L120" s="169"/>
      <c r="M120" s="169"/>
      <c r="N120" s="169"/>
      <c r="O120" s="169"/>
      <c r="P120" s="176"/>
      <c r="Q120" s="176"/>
      <c r="R120" s="176"/>
      <c r="S120" s="176"/>
      <c r="T120" s="176"/>
      <c r="U120" s="176"/>
      <c r="V120" s="176"/>
      <c r="W120" s="176"/>
      <c r="X120" s="176"/>
      <c r="Y120" s="176"/>
      <c r="Z120" s="176"/>
    </row>
    <row r="121" ht="14.25" customHeight="1">
      <c r="A121" s="169"/>
      <c r="B121" s="188"/>
      <c r="C121" s="169"/>
      <c r="D121" s="169"/>
      <c r="E121" s="169"/>
      <c r="F121" s="169"/>
      <c r="G121" s="169"/>
      <c r="H121" s="169"/>
      <c r="I121" s="169"/>
      <c r="J121" s="169"/>
      <c r="K121" s="169"/>
      <c r="L121" s="169"/>
      <c r="M121" s="169"/>
      <c r="N121" s="169"/>
      <c r="O121" s="169"/>
      <c r="P121" s="176"/>
      <c r="Q121" s="176"/>
      <c r="R121" s="176"/>
      <c r="S121" s="176"/>
      <c r="T121" s="176"/>
      <c r="U121" s="176"/>
      <c r="V121" s="176"/>
      <c r="W121" s="176"/>
      <c r="X121" s="176"/>
      <c r="Y121" s="176"/>
      <c r="Z121" s="176"/>
    </row>
    <row r="122" ht="14.25" customHeight="1">
      <c r="A122" s="169"/>
      <c r="B122" s="188"/>
      <c r="C122" s="169"/>
      <c r="D122" s="169"/>
      <c r="E122" s="169"/>
      <c r="F122" s="169"/>
      <c r="G122" s="169"/>
      <c r="H122" s="169"/>
      <c r="I122" s="169"/>
      <c r="J122" s="169"/>
      <c r="K122" s="169"/>
      <c r="L122" s="169"/>
      <c r="M122" s="169"/>
      <c r="N122" s="169"/>
      <c r="O122" s="169"/>
      <c r="P122" s="176"/>
      <c r="Q122" s="176"/>
      <c r="R122" s="176"/>
      <c r="S122" s="176"/>
      <c r="T122" s="176"/>
      <c r="U122" s="176"/>
      <c r="V122" s="176"/>
      <c r="W122" s="176"/>
      <c r="X122" s="176"/>
      <c r="Y122" s="176"/>
      <c r="Z122" s="176"/>
    </row>
    <row r="123" ht="14.25" customHeight="1">
      <c r="A123" s="169"/>
      <c r="B123" s="188"/>
      <c r="C123" s="169"/>
      <c r="D123" s="169"/>
      <c r="E123" s="169"/>
      <c r="F123" s="169"/>
      <c r="G123" s="169"/>
      <c r="H123" s="169"/>
      <c r="I123" s="169"/>
      <c r="J123" s="169"/>
      <c r="K123" s="169"/>
      <c r="L123" s="169"/>
      <c r="M123" s="169"/>
      <c r="N123" s="169"/>
      <c r="O123" s="169"/>
      <c r="P123" s="176"/>
      <c r="Q123" s="176"/>
      <c r="R123" s="176"/>
      <c r="S123" s="176"/>
      <c r="T123" s="176"/>
      <c r="U123" s="176"/>
      <c r="V123" s="176"/>
      <c r="W123" s="176"/>
      <c r="X123" s="176"/>
      <c r="Y123" s="176"/>
      <c r="Z123" s="176"/>
    </row>
    <row r="124" ht="14.25" customHeight="1">
      <c r="A124" s="169"/>
      <c r="B124" s="249"/>
      <c r="C124" s="169"/>
      <c r="D124" s="169"/>
      <c r="E124" s="169"/>
      <c r="F124" s="169"/>
      <c r="G124" s="169"/>
      <c r="H124" s="169"/>
      <c r="I124" s="169"/>
      <c r="J124" s="169"/>
      <c r="K124" s="169"/>
      <c r="L124" s="169"/>
      <c r="M124" s="169"/>
      <c r="N124" s="169"/>
      <c r="O124" s="169"/>
      <c r="P124" s="176"/>
      <c r="Q124" s="176"/>
      <c r="R124" s="176"/>
      <c r="S124" s="176"/>
      <c r="T124" s="176"/>
      <c r="U124" s="176"/>
      <c r="V124" s="176"/>
      <c r="W124" s="176"/>
      <c r="X124" s="176"/>
      <c r="Y124" s="176"/>
      <c r="Z124" s="176"/>
    </row>
    <row r="125" ht="14.25" customHeight="1">
      <c r="A125" s="169"/>
      <c r="B125" s="188"/>
      <c r="C125" s="169"/>
      <c r="D125" s="169"/>
      <c r="E125" s="169"/>
      <c r="F125" s="169"/>
      <c r="G125" s="169"/>
      <c r="H125" s="169"/>
      <c r="I125" s="169"/>
      <c r="J125" s="169"/>
      <c r="K125" s="169"/>
      <c r="L125" s="169"/>
      <c r="M125" s="169"/>
      <c r="N125" s="169"/>
      <c r="O125" s="169"/>
      <c r="P125" s="176"/>
      <c r="Q125" s="176"/>
      <c r="R125" s="176"/>
      <c r="S125" s="176"/>
      <c r="T125" s="176"/>
      <c r="U125" s="176"/>
      <c r="V125" s="176"/>
      <c r="W125" s="176"/>
      <c r="X125" s="176"/>
      <c r="Y125" s="176"/>
      <c r="Z125" s="176"/>
    </row>
    <row r="126" ht="14.25" customHeight="1">
      <c r="A126" s="169"/>
      <c r="B126" s="188"/>
      <c r="C126" s="169"/>
      <c r="D126" s="169"/>
      <c r="E126" s="169"/>
      <c r="F126" s="169"/>
      <c r="G126" s="169"/>
      <c r="H126" s="169"/>
      <c r="I126" s="169"/>
      <c r="J126" s="169"/>
      <c r="K126" s="169"/>
      <c r="L126" s="169"/>
      <c r="M126" s="169"/>
      <c r="N126" s="169"/>
      <c r="O126" s="169"/>
      <c r="P126" s="176"/>
      <c r="Q126" s="176"/>
      <c r="R126" s="176"/>
      <c r="S126" s="176"/>
      <c r="T126" s="176"/>
      <c r="U126" s="176"/>
      <c r="V126" s="176"/>
      <c r="W126" s="176"/>
      <c r="X126" s="176"/>
      <c r="Y126" s="176"/>
      <c r="Z126" s="176"/>
    </row>
    <row r="127" ht="14.25" customHeight="1">
      <c r="A127" s="169"/>
      <c r="B127" s="188"/>
      <c r="C127" s="169"/>
      <c r="D127" s="169"/>
      <c r="E127" s="169"/>
      <c r="F127" s="169"/>
      <c r="G127" s="169"/>
      <c r="H127" s="169"/>
      <c r="I127" s="169"/>
      <c r="J127" s="169"/>
      <c r="K127" s="169"/>
      <c r="L127" s="169"/>
      <c r="M127" s="169"/>
      <c r="N127" s="169"/>
      <c r="O127" s="169"/>
      <c r="P127" s="176"/>
      <c r="Q127" s="176"/>
      <c r="R127" s="176"/>
      <c r="S127" s="176"/>
      <c r="T127" s="176"/>
      <c r="U127" s="176"/>
      <c r="V127" s="176"/>
      <c r="W127" s="176"/>
      <c r="X127" s="176"/>
      <c r="Y127" s="176"/>
      <c r="Z127" s="176"/>
    </row>
    <row r="128" ht="14.25" customHeight="1">
      <c r="A128" s="169"/>
      <c r="B128" s="188"/>
      <c r="C128" s="169"/>
      <c r="D128" s="169"/>
      <c r="E128" s="169"/>
      <c r="F128" s="169"/>
      <c r="G128" s="169"/>
      <c r="H128" s="169"/>
      <c r="I128" s="169"/>
      <c r="J128" s="169"/>
      <c r="K128" s="169"/>
      <c r="L128" s="169"/>
      <c r="M128" s="169"/>
      <c r="N128" s="169"/>
      <c r="O128" s="169"/>
      <c r="P128" s="176"/>
      <c r="Q128" s="176"/>
      <c r="R128" s="176"/>
      <c r="S128" s="176"/>
      <c r="T128" s="176"/>
      <c r="U128" s="176"/>
      <c r="V128" s="176"/>
      <c r="W128" s="176"/>
      <c r="X128" s="176"/>
      <c r="Y128" s="176"/>
      <c r="Z128" s="176"/>
    </row>
    <row r="129" ht="14.25" customHeight="1">
      <c r="A129" s="169"/>
      <c r="B129" s="188"/>
      <c r="C129" s="169"/>
      <c r="D129" s="169"/>
      <c r="E129" s="169"/>
      <c r="F129" s="169"/>
      <c r="G129" s="169"/>
      <c r="H129" s="169"/>
      <c r="I129" s="169"/>
      <c r="J129" s="169"/>
      <c r="K129" s="169"/>
      <c r="L129" s="169"/>
      <c r="M129" s="169"/>
      <c r="N129" s="169"/>
      <c r="O129" s="169"/>
      <c r="P129" s="176"/>
      <c r="Q129" s="176"/>
      <c r="R129" s="176"/>
      <c r="S129" s="176"/>
      <c r="T129" s="176"/>
      <c r="U129" s="176"/>
      <c r="V129" s="176"/>
      <c r="W129" s="176"/>
      <c r="X129" s="176"/>
      <c r="Y129" s="176"/>
      <c r="Z129" s="176"/>
    </row>
    <row r="130" ht="14.25" customHeight="1">
      <c r="A130" s="169"/>
      <c r="B130" s="188"/>
      <c r="C130" s="169"/>
      <c r="D130" s="169"/>
      <c r="E130" s="169"/>
      <c r="F130" s="169"/>
      <c r="G130" s="169"/>
      <c r="H130" s="169"/>
      <c r="I130" s="169"/>
      <c r="J130" s="169"/>
      <c r="K130" s="169"/>
      <c r="L130" s="169"/>
      <c r="M130" s="169"/>
      <c r="N130" s="169"/>
      <c r="O130" s="169"/>
      <c r="P130" s="176"/>
      <c r="Q130" s="176"/>
      <c r="R130" s="176"/>
      <c r="S130" s="176"/>
      <c r="T130" s="176"/>
      <c r="U130" s="176"/>
      <c r="V130" s="176"/>
      <c r="W130" s="176"/>
      <c r="X130" s="176"/>
      <c r="Y130" s="176"/>
      <c r="Z130" s="176"/>
    </row>
    <row r="131" ht="14.25" customHeight="1">
      <c r="A131" s="169"/>
      <c r="B131" s="188"/>
      <c r="C131" s="169"/>
      <c r="D131" s="169"/>
      <c r="E131" s="169"/>
      <c r="F131" s="169"/>
      <c r="G131" s="169"/>
      <c r="H131" s="169"/>
      <c r="I131" s="169"/>
      <c r="J131" s="169"/>
      <c r="K131" s="169"/>
      <c r="L131" s="169"/>
      <c r="M131" s="169"/>
      <c r="N131" s="169"/>
      <c r="O131" s="169"/>
      <c r="P131" s="176"/>
      <c r="Q131" s="176"/>
      <c r="R131" s="176"/>
      <c r="S131" s="176"/>
      <c r="T131" s="176"/>
      <c r="U131" s="176"/>
      <c r="V131" s="176"/>
      <c r="W131" s="176"/>
      <c r="X131" s="176"/>
      <c r="Y131" s="176"/>
      <c r="Z131" s="176"/>
    </row>
    <row r="132" ht="14.25" customHeight="1">
      <c r="A132" s="169"/>
      <c r="B132" s="188"/>
      <c r="C132" s="169"/>
      <c r="D132" s="169"/>
      <c r="E132" s="169"/>
      <c r="F132" s="169"/>
      <c r="G132" s="169"/>
      <c r="H132" s="169"/>
      <c r="I132" s="169"/>
      <c r="J132" s="169"/>
      <c r="K132" s="169"/>
      <c r="L132" s="169"/>
      <c r="M132" s="169"/>
      <c r="N132" s="169"/>
      <c r="O132" s="169"/>
      <c r="P132" s="176"/>
      <c r="Q132" s="176"/>
      <c r="R132" s="176"/>
      <c r="S132" s="176"/>
      <c r="T132" s="176"/>
      <c r="U132" s="176"/>
      <c r="V132" s="176"/>
      <c r="W132" s="176"/>
      <c r="X132" s="176"/>
      <c r="Y132" s="176"/>
      <c r="Z132" s="176"/>
    </row>
    <row r="133" ht="14.25" customHeight="1">
      <c r="A133" s="169"/>
      <c r="B133" s="188"/>
      <c r="C133" s="169"/>
      <c r="D133" s="169"/>
      <c r="E133" s="169"/>
      <c r="F133" s="169"/>
      <c r="G133" s="169"/>
      <c r="H133" s="169"/>
      <c r="I133" s="169"/>
      <c r="J133" s="169"/>
      <c r="K133" s="169"/>
      <c r="L133" s="169"/>
      <c r="M133" s="169"/>
      <c r="N133" s="169"/>
      <c r="O133" s="169"/>
      <c r="P133" s="176"/>
      <c r="Q133" s="176"/>
      <c r="R133" s="176"/>
      <c r="S133" s="176"/>
      <c r="T133" s="176"/>
      <c r="U133" s="176"/>
      <c r="V133" s="176"/>
      <c r="W133" s="176"/>
      <c r="X133" s="176"/>
      <c r="Y133" s="176"/>
      <c r="Z133" s="176"/>
    </row>
    <row r="134" ht="14.25" customHeight="1">
      <c r="A134" s="169"/>
      <c r="B134" s="188"/>
      <c r="C134" s="169"/>
      <c r="D134" s="169"/>
      <c r="E134" s="169"/>
      <c r="F134" s="169"/>
      <c r="G134" s="169"/>
      <c r="H134" s="169"/>
      <c r="I134" s="169"/>
      <c r="J134" s="169"/>
      <c r="K134" s="169"/>
      <c r="L134" s="169"/>
      <c r="M134" s="169"/>
      <c r="N134" s="169"/>
      <c r="O134" s="169"/>
      <c r="P134" s="176"/>
      <c r="Q134" s="176"/>
      <c r="R134" s="176"/>
      <c r="S134" s="176"/>
      <c r="T134" s="176"/>
      <c r="U134" s="176"/>
      <c r="V134" s="176"/>
      <c r="W134" s="176"/>
      <c r="X134" s="176"/>
      <c r="Y134" s="176"/>
      <c r="Z134" s="176"/>
    </row>
    <row r="135" ht="14.25" customHeight="1">
      <c r="A135" s="169"/>
      <c r="B135" s="188"/>
      <c r="C135" s="169"/>
      <c r="D135" s="169"/>
      <c r="E135" s="169"/>
      <c r="F135" s="169"/>
      <c r="G135" s="169"/>
      <c r="H135" s="169"/>
      <c r="I135" s="169"/>
      <c r="J135" s="169"/>
      <c r="K135" s="169"/>
      <c r="L135" s="169"/>
      <c r="M135" s="169"/>
      <c r="N135" s="169"/>
      <c r="O135" s="169"/>
      <c r="P135" s="176"/>
      <c r="Q135" s="176"/>
      <c r="R135" s="176"/>
      <c r="S135" s="176"/>
      <c r="T135" s="176"/>
      <c r="U135" s="176"/>
      <c r="V135" s="176"/>
      <c r="W135" s="176"/>
      <c r="X135" s="176"/>
      <c r="Y135" s="176"/>
      <c r="Z135" s="176"/>
    </row>
    <row r="136" ht="14.25" customHeight="1">
      <c r="A136" s="169"/>
      <c r="B136" s="188"/>
      <c r="C136" s="169"/>
      <c r="D136" s="169"/>
      <c r="E136" s="169"/>
      <c r="F136" s="169"/>
      <c r="G136" s="169"/>
      <c r="H136" s="169"/>
      <c r="I136" s="169"/>
      <c r="J136" s="169"/>
      <c r="K136" s="169"/>
      <c r="L136" s="169"/>
      <c r="M136" s="169"/>
      <c r="N136" s="169"/>
      <c r="O136" s="169"/>
      <c r="P136" s="176"/>
      <c r="Q136" s="176"/>
      <c r="R136" s="176"/>
      <c r="S136" s="176"/>
      <c r="T136" s="176"/>
      <c r="U136" s="176"/>
      <c r="V136" s="176"/>
      <c r="W136" s="176"/>
      <c r="X136" s="176"/>
      <c r="Y136" s="176"/>
      <c r="Z136" s="176"/>
    </row>
    <row r="137" ht="14.25" customHeight="1">
      <c r="A137" s="169"/>
      <c r="B137" s="188"/>
      <c r="C137" s="169"/>
      <c r="D137" s="169"/>
      <c r="E137" s="169"/>
      <c r="F137" s="169"/>
      <c r="G137" s="169"/>
      <c r="H137" s="169"/>
      <c r="I137" s="169"/>
      <c r="J137" s="169"/>
      <c r="K137" s="169"/>
      <c r="L137" s="169"/>
      <c r="M137" s="169"/>
      <c r="N137" s="169"/>
      <c r="O137" s="169"/>
      <c r="P137" s="176"/>
      <c r="Q137" s="176"/>
      <c r="R137" s="176"/>
      <c r="S137" s="176"/>
      <c r="T137" s="176"/>
      <c r="U137" s="176"/>
      <c r="V137" s="176"/>
      <c r="W137" s="176"/>
      <c r="X137" s="176"/>
      <c r="Y137" s="176"/>
      <c r="Z137" s="176"/>
    </row>
    <row r="138" ht="14.25" customHeight="1">
      <c r="A138" s="169"/>
      <c r="B138" s="188"/>
      <c r="C138" s="169"/>
      <c r="D138" s="169"/>
      <c r="E138" s="169"/>
      <c r="F138" s="169"/>
      <c r="G138" s="169"/>
      <c r="H138" s="169"/>
      <c r="I138" s="169"/>
      <c r="J138" s="169"/>
      <c r="K138" s="169"/>
      <c r="L138" s="169"/>
      <c r="M138" s="169"/>
      <c r="N138" s="169"/>
      <c r="O138" s="169"/>
      <c r="P138" s="176"/>
      <c r="Q138" s="176"/>
      <c r="R138" s="176"/>
      <c r="S138" s="176"/>
      <c r="T138" s="176"/>
      <c r="U138" s="176"/>
      <c r="V138" s="176"/>
      <c r="W138" s="176"/>
      <c r="X138" s="176"/>
      <c r="Y138" s="176"/>
      <c r="Z138" s="176"/>
    </row>
    <row r="139" ht="14.25" customHeight="1">
      <c r="A139" s="169"/>
      <c r="B139" s="188"/>
      <c r="C139" s="169"/>
      <c r="D139" s="169"/>
      <c r="E139" s="169"/>
      <c r="F139" s="169"/>
      <c r="G139" s="169"/>
      <c r="H139" s="169"/>
      <c r="I139" s="169"/>
      <c r="J139" s="169"/>
      <c r="K139" s="169"/>
      <c r="L139" s="169"/>
      <c r="M139" s="169"/>
      <c r="N139" s="169"/>
      <c r="O139" s="169"/>
      <c r="P139" s="176"/>
      <c r="Q139" s="176"/>
      <c r="R139" s="176"/>
      <c r="S139" s="176"/>
      <c r="T139" s="176"/>
      <c r="U139" s="176"/>
      <c r="V139" s="176"/>
      <c r="W139" s="176"/>
      <c r="X139" s="176"/>
      <c r="Y139" s="176"/>
      <c r="Z139" s="176"/>
    </row>
    <row r="140" ht="14.25" customHeight="1">
      <c r="A140" s="169"/>
      <c r="B140" s="188"/>
      <c r="C140" s="169"/>
      <c r="D140" s="169"/>
      <c r="E140" s="169"/>
      <c r="F140" s="169"/>
      <c r="G140" s="169"/>
      <c r="H140" s="169"/>
      <c r="I140" s="169"/>
      <c r="J140" s="169"/>
      <c r="K140" s="169"/>
      <c r="L140" s="169"/>
      <c r="M140" s="169"/>
      <c r="N140" s="169"/>
      <c r="O140" s="169"/>
      <c r="P140" s="176"/>
      <c r="Q140" s="176"/>
      <c r="R140" s="176"/>
      <c r="S140" s="176"/>
      <c r="T140" s="176"/>
      <c r="U140" s="176"/>
      <c r="V140" s="176"/>
      <c r="W140" s="176"/>
      <c r="X140" s="176"/>
      <c r="Y140" s="176"/>
      <c r="Z140" s="176"/>
    </row>
    <row r="141" ht="14.25" customHeight="1">
      <c r="A141" s="169"/>
      <c r="B141" s="188"/>
      <c r="C141" s="169"/>
      <c r="D141" s="169"/>
      <c r="E141" s="169"/>
      <c r="F141" s="169"/>
      <c r="G141" s="169"/>
      <c r="H141" s="169"/>
      <c r="I141" s="169"/>
      <c r="J141" s="169"/>
      <c r="K141" s="169"/>
      <c r="L141" s="169"/>
      <c r="M141" s="169"/>
      <c r="N141" s="169"/>
      <c r="O141" s="169"/>
      <c r="P141" s="176"/>
      <c r="Q141" s="176"/>
      <c r="R141" s="176"/>
      <c r="S141" s="176"/>
      <c r="T141" s="176"/>
      <c r="U141" s="176"/>
      <c r="V141" s="176"/>
      <c r="W141" s="176"/>
      <c r="X141" s="176"/>
      <c r="Y141" s="176"/>
      <c r="Z141" s="176"/>
    </row>
    <row r="142" ht="14.25" customHeight="1">
      <c r="A142" s="169"/>
      <c r="B142" s="188"/>
      <c r="C142" s="169"/>
      <c r="D142" s="169"/>
      <c r="E142" s="169"/>
      <c r="F142" s="169"/>
      <c r="G142" s="169"/>
      <c r="H142" s="169"/>
      <c r="I142" s="169"/>
      <c r="J142" s="169"/>
      <c r="K142" s="169"/>
      <c r="L142" s="169"/>
      <c r="M142" s="169"/>
      <c r="N142" s="169"/>
      <c r="O142" s="169"/>
      <c r="P142" s="176"/>
      <c r="Q142" s="176"/>
      <c r="R142" s="176"/>
      <c r="S142" s="176"/>
      <c r="T142" s="176"/>
      <c r="U142" s="176"/>
      <c r="V142" s="176"/>
      <c r="W142" s="176"/>
      <c r="X142" s="176"/>
      <c r="Y142" s="176"/>
      <c r="Z142" s="176"/>
    </row>
    <row r="143" ht="14.25" customHeight="1">
      <c r="A143" s="169"/>
      <c r="B143" s="188"/>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14.25" customHeight="1">
      <c r="A144" s="169"/>
      <c r="B144" s="188"/>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14.25" customHeight="1">
      <c r="A145" s="169"/>
      <c r="B145" s="188"/>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14.25" customHeight="1">
      <c r="A146" s="169"/>
      <c r="B146" s="188"/>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14.25" customHeight="1">
      <c r="A147" s="169"/>
      <c r="B147" s="188"/>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14.25" customHeight="1">
      <c r="A148" s="169"/>
      <c r="B148" s="188"/>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14.25" customHeight="1">
      <c r="A149" s="169"/>
      <c r="B149" s="188"/>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14.25" customHeight="1">
      <c r="A150" s="169"/>
      <c r="B150" s="188"/>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14.25" customHeight="1">
      <c r="A151" s="169"/>
      <c r="B151" s="188"/>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14.25" customHeight="1">
      <c r="A152" s="169"/>
      <c r="B152" s="188"/>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14.25" customHeight="1">
      <c r="A153" s="169"/>
      <c r="B153" s="188"/>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14.25" customHeight="1">
      <c r="A154" s="169"/>
      <c r="B154" s="188"/>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14.25" customHeight="1">
      <c r="A155" s="169"/>
      <c r="B155" s="188"/>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14.25" customHeight="1">
      <c r="A156" s="169"/>
      <c r="B156" s="188"/>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14.25" customHeight="1">
      <c r="A157" s="169"/>
      <c r="B157" s="188"/>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14.25" customHeight="1">
      <c r="A158" s="169"/>
      <c r="B158" s="188"/>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14.25" customHeight="1">
      <c r="A159" s="169"/>
      <c r="B159" s="188"/>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14.25" customHeight="1">
      <c r="A160" s="169"/>
      <c r="B160" s="188"/>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14.25" customHeight="1">
      <c r="A161" s="169"/>
      <c r="B161" s="188"/>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14.25" customHeight="1">
      <c r="A162" s="169"/>
      <c r="B162" s="188"/>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14.25" customHeight="1">
      <c r="A163" s="169"/>
      <c r="B163" s="188"/>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14.25" customHeight="1">
      <c r="A164" s="169"/>
      <c r="B164" s="188"/>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14.25" customHeight="1">
      <c r="A165" s="169"/>
      <c r="B165" s="188"/>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14.25" customHeight="1">
      <c r="A166" s="169"/>
      <c r="B166" s="188"/>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14.25" customHeight="1">
      <c r="A167" s="169"/>
      <c r="B167" s="188"/>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14.25" customHeight="1">
      <c r="A168" s="169"/>
      <c r="B168" s="188"/>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14.25" customHeight="1">
      <c r="A169" s="169"/>
      <c r="B169" s="188"/>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14.25" customHeight="1">
      <c r="A170" s="169"/>
      <c r="B170" s="188"/>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14.25" customHeight="1">
      <c r="A171" s="169"/>
      <c r="B171" s="188"/>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14.25" customHeight="1">
      <c r="A172" s="169"/>
      <c r="B172" s="188"/>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14.25" customHeight="1">
      <c r="A173" s="169"/>
      <c r="B173" s="188"/>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14.25" customHeight="1">
      <c r="A174" s="169"/>
      <c r="B174" s="188"/>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14.25" customHeight="1">
      <c r="A175" s="169"/>
      <c r="B175" s="188"/>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14.25" customHeight="1">
      <c r="A176" s="169"/>
      <c r="B176" s="188"/>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14.25" customHeight="1">
      <c r="A177" s="169"/>
      <c r="B177" s="188"/>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14.25" customHeight="1">
      <c r="A178" s="169"/>
      <c r="B178" s="188"/>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14.25" customHeight="1">
      <c r="A179" s="169"/>
      <c r="B179" s="188"/>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14.25" customHeight="1">
      <c r="A180" s="169"/>
      <c r="B180" s="188"/>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14.25" customHeight="1">
      <c r="A181" s="169"/>
      <c r="B181" s="188"/>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14.25" customHeight="1">
      <c r="A182" s="169"/>
      <c r="B182" s="188"/>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14.25" customHeight="1">
      <c r="A183" s="169"/>
      <c r="B183" s="188"/>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14.25" customHeight="1">
      <c r="A184" s="169"/>
      <c r="B184" s="188"/>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14.25" customHeight="1">
      <c r="A185" s="169"/>
      <c r="B185" s="188"/>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14.25" customHeight="1">
      <c r="A186" s="169"/>
      <c r="B186" s="188"/>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14.25" customHeight="1">
      <c r="A187" s="169"/>
      <c r="B187" s="188"/>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14.25" customHeight="1">
      <c r="A188" s="169"/>
      <c r="B188" s="188"/>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14.25" customHeight="1">
      <c r="A189" s="169"/>
      <c r="B189" s="188"/>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14.25" customHeight="1">
      <c r="A190" s="169"/>
      <c r="B190" s="188"/>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14.25" customHeight="1">
      <c r="A191" s="169"/>
      <c r="B191" s="188"/>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14.25" customHeight="1">
      <c r="A192" s="169"/>
      <c r="B192" s="188"/>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14.25" customHeight="1">
      <c r="A193" s="169"/>
      <c r="B193" s="188"/>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14.25" customHeight="1">
      <c r="A194" s="169"/>
      <c r="B194" s="188"/>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14.25" customHeight="1">
      <c r="A195" s="169"/>
      <c r="B195" s="188"/>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14.25" customHeight="1">
      <c r="A196" s="169"/>
      <c r="B196" s="188"/>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14.25" customHeight="1">
      <c r="A197" s="169"/>
      <c r="B197" s="188"/>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14.25" customHeight="1">
      <c r="A198" s="169"/>
      <c r="B198" s="188"/>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14.25" customHeight="1">
      <c r="A199" s="169"/>
      <c r="B199" s="188"/>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14.25" customHeight="1">
      <c r="A200" s="169"/>
      <c r="B200" s="188"/>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14.25" customHeight="1">
      <c r="A201" s="169"/>
      <c r="B201" s="188"/>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14.25" customHeight="1">
      <c r="A202" s="169"/>
      <c r="B202" s="188"/>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14.25" customHeight="1">
      <c r="A203" s="169"/>
      <c r="B203" s="188"/>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14.25" customHeight="1">
      <c r="A204" s="169"/>
      <c r="B204" s="188"/>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14.25" customHeight="1">
      <c r="A205" s="169"/>
      <c r="B205" s="188"/>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14.25" customHeight="1">
      <c r="A206" s="169"/>
      <c r="B206" s="188"/>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14.25" customHeight="1">
      <c r="A207" s="169"/>
      <c r="B207" s="188"/>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14.25" customHeight="1">
      <c r="A208" s="169"/>
      <c r="B208" s="188"/>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14.25" customHeight="1">
      <c r="A209" s="169"/>
      <c r="B209" s="188"/>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14.25" customHeight="1">
      <c r="A210" s="169"/>
      <c r="B210" s="188"/>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14.25" customHeight="1">
      <c r="A211" s="169"/>
      <c r="B211" s="188"/>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14.25" customHeight="1">
      <c r="A212" s="169"/>
      <c r="B212" s="188"/>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14.25" customHeight="1">
      <c r="A213" s="169"/>
      <c r="B213" s="188"/>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14.25" customHeight="1">
      <c r="A214" s="169"/>
      <c r="B214" s="188"/>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14.25" customHeight="1">
      <c r="A215" s="169"/>
      <c r="B215" s="188"/>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14.25" customHeight="1">
      <c r="A216" s="169"/>
      <c r="B216" s="188"/>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14.25" customHeight="1">
      <c r="A217" s="169"/>
      <c r="B217" s="188"/>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14.25" customHeight="1">
      <c r="A218" s="169"/>
      <c r="B218" s="188"/>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14.25" customHeight="1">
      <c r="A219" s="169"/>
      <c r="B219" s="188"/>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14.25" customHeight="1">
      <c r="A220" s="169"/>
      <c r="B220" s="188"/>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14.25" customHeight="1">
      <c r="A221" s="169"/>
      <c r="B221" s="188"/>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14.25" customHeight="1">
      <c r="A222" s="169"/>
      <c r="B222" s="188"/>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ht="14.25" customHeight="1">
      <c r="A223" s="169"/>
      <c r="B223" s="188"/>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ht="14.25" customHeight="1">
      <c r="A224" s="169"/>
      <c r="B224" s="188"/>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14.25" customHeight="1">
      <c r="A225" s="169"/>
      <c r="B225" s="188"/>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14.25" customHeight="1">
      <c r="A226" s="169"/>
      <c r="B226" s="188"/>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14.25" customHeight="1">
      <c r="A227" s="169"/>
      <c r="B227" s="188"/>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14.25" customHeight="1">
      <c r="A228" s="169"/>
      <c r="B228" s="188"/>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14.25" customHeight="1">
      <c r="A229" s="169"/>
      <c r="B229" s="188"/>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14.25" customHeight="1">
      <c r="A230" s="169"/>
      <c r="B230" s="188"/>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14.25" customHeight="1">
      <c r="A231" s="169"/>
      <c r="B231" s="188"/>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14.25" customHeight="1">
      <c r="A232" s="169"/>
      <c r="B232" s="188"/>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14.25" customHeight="1">
      <c r="A233" s="169"/>
      <c r="B233" s="188"/>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14.25" customHeight="1">
      <c r="A234" s="169"/>
      <c r="B234" s="188"/>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14.25" customHeight="1">
      <c r="A235" s="169"/>
      <c r="B235" s="188"/>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14.25" customHeight="1">
      <c r="A236" s="169"/>
      <c r="B236" s="188"/>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14.25" customHeight="1">
      <c r="A237" s="169"/>
      <c r="B237" s="188"/>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14.25" customHeight="1">
      <c r="A238" s="169"/>
      <c r="B238" s="188"/>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14.25" customHeight="1">
      <c r="A239" s="169"/>
      <c r="B239" s="188"/>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14.25" customHeight="1">
      <c r="A240" s="169"/>
      <c r="B240" s="188"/>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14.25" customHeight="1">
      <c r="A241" s="169"/>
      <c r="B241" s="188"/>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14.25" customHeight="1">
      <c r="A242" s="169"/>
      <c r="B242" s="188"/>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14.25" customHeight="1">
      <c r="A243" s="169"/>
      <c r="B243" s="188"/>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ht="14.25" customHeight="1">
      <c r="A244" s="169"/>
      <c r="B244" s="188"/>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ht="14.25" customHeight="1">
      <c r="A245" s="169"/>
      <c r="B245" s="188"/>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ht="14.25" customHeight="1">
      <c r="A246" s="169"/>
      <c r="B246" s="188"/>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ht="14.25" customHeight="1">
      <c r="A247" s="169"/>
      <c r="B247" s="188"/>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ht="14.25" customHeight="1">
      <c r="A248" s="169"/>
      <c r="B248" s="188"/>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ht="14.25" customHeight="1">
      <c r="A249" s="169"/>
      <c r="B249" s="188"/>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ht="14.25" customHeight="1">
      <c r="A250" s="169"/>
      <c r="B250" s="188"/>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ht="14.25" customHeight="1">
      <c r="A251" s="169"/>
      <c r="B251" s="188"/>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ht="14.25" customHeight="1">
      <c r="A252" s="169"/>
      <c r="B252" s="188"/>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ht="14.25" customHeight="1">
      <c r="A253" s="169"/>
      <c r="B253" s="188"/>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ht="14.25" customHeight="1">
      <c r="A254" s="169"/>
      <c r="B254" s="188"/>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ht="14.25" customHeight="1">
      <c r="A255" s="169"/>
      <c r="B255" s="188"/>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ht="14.25" customHeight="1">
      <c r="A256" s="169"/>
      <c r="B256" s="188"/>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ht="14.25" customHeight="1">
      <c r="A257" s="169"/>
      <c r="B257" s="188"/>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ht="14.25" customHeight="1">
      <c r="A258" s="169"/>
      <c r="B258" s="188"/>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ht="14.25" customHeight="1">
      <c r="A259" s="169"/>
      <c r="B259" s="188"/>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ht="14.25" customHeight="1">
      <c r="A260" s="169"/>
      <c r="B260" s="188"/>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ht="14.25" customHeight="1">
      <c r="A261" s="169"/>
      <c r="B261" s="188"/>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ht="14.25" customHeight="1">
      <c r="A262" s="169"/>
      <c r="B262" s="188"/>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ht="14.25" customHeight="1">
      <c r="A263" s="169"/>
      <c r="B263" s="188"/>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ht="14.25" customHeight="1">
      <c r="A264" s="169"/>
      <c r="B264" s="188"/>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ht="14.25" customHeight="1">
      <c r="A265" s="169"/>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ht="14.25" customHeight="1">
      <c r="A266" s="169"/>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ht="14.25" customHeight="1">
      <c r="A267" s="169"/>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ht="14.25" customHeight="1">
      <c r="A268" s="169"/>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ht="14.25" customHeight="1">
      <c r="A269" s="169"/>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ht="14.25" customHeight="1">
      <c r="A270" s="169"/>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ht="14.25" customHeight="1">
      <c r="A271" s="169"/>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ht="14.25" customHeight="1">
      <c r="A272" s="169"/>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ht="14.25" customHeight="1">
      <c r="A273" s="169"/>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ht="14.25" customHeight="1">
      <c r="A274" s="169"/>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ht="14.25" customHeight="1">
      <c r="A275" s="169"/>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ht="14.25" customHeight="1">
      <c r="A276" s="169"/>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ht="14.25" customHeight="1">
      <c r="A277" s="169"/>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ht="14.25" customHeight="1">
      <c r="A278" s="169"/>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ht="14.25" customHeight="1">
      <c r="A279" s="169"/>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ht="14.25" customHeight="1">
      <c r="A280" s="169"/>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ht="14.25" customHeight="1">
      <c r="A281" s="169"/>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ht="14.25" customHeight="1">
      <c r="A282" s="169"/>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ht="14.25" customHeight="1">
      <c r="A283" s="169"/>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ht="14.25" customHeight="1">
      <c r="A284" s="169"/>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ht="14.25" customHeight="1">
      <c r="A285" s="169"/>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ht="14.25" customHeight="1">
      <c r="A286" s="169"/>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ht="14.25" customHeight="1">
      <c r="A287" s="169"/>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ht="14.25" customHeight="1">
      <c r="A288" s="169"/>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ht="14.25" customHeight="1">
      <c r="A289" s="169"/>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ht="14.25" customHeight="1">
      <c r="A290" s="169"/>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ht="14.25" customHeight="1">
      <c r="A291" s="169"/>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ht="14.25" customHeight="1">
      <c r="A292" s="169"/>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ht="14.25" customHeight="1">
      <c r="A293" s="169"/>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ht="14.25" customHeight="1">
      <c r="A294" s="169"/>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ht="14.25" customHeight="1">
      <c r="A295" s="169"/>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ht="14.25" customHeight="1">
      <c r="A296" s="169"/>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ht="14.25" customHeight="1">
      <c r="A297" s="169"/>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ht="14.25" customHeight="1">
      <c r="A298" s="169"/>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ht="14.25" customHeight="1">
      <c r="A299" s="169"/>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ht="14.25" customHeight="1">
      <c r="A300" s="169"/>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ht="14.25" customHeight="1">
      <c r="A301" s="169"/>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ht="14.25" customHeight="1">
      <c r="A302" s="169"/>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ht="14.25" customHeight="1">
      <c r="A303" s="169"/>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ht="14.25" customHeight="1">
      <c r="A304" s="169"/>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ht="14.25" customHeight="1">
      <c r="A305" s="169"/>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ht="14.25" customHeight="1">
      <c r="A306" s="169"/>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ht="14.25" customHeight="1">
      <c r="A307" s="169"/>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ht="14.25" customHeight="1">
      <c r="A308" s="169"/>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ht="14.25" customHeight="1">
      <c r="A309" s="169"/>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ht="14.25" customHeight="1">
      <c r="A310" s="169"/>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ht="14.25" customHeight="1">
      <c r="A311" s="169"/>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ht="14.25" customHeight="1">
      <c r="A312" s="169"/>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ht="14.25" customHeight="1">
      <c r="A313" s="169"/>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ht="14.25" customHeight="1">
      <c r="A314" s="169"/>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ht="14.25" customHeight="1">
      <c r="A315" s="169"/>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ht="14.25" customHeight="1">
      <c r="A316" s="169"/>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ht="14.25" customHeight="1">
      <c r="A317" s="169"/>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ht="14.25" customHeight="1">
      <c r="A318" s="169"/>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ht="14.25" customHeight="1">
      <c r="A319" s="169"/>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ht="14.25" customHeight="1">
      <c r="A320" s="169"/>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ht="14.25" customHeight="1">
      <c r="A321" s="169"/>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ht="14.25" customHeight="1">
      <c r="A322" s="169"/>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ht="14.25" customHeight="1">
      <c r="A323" s="169"/>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ht="14.25" customHeight="1">
      <c r="A324" s="169"/>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ht="14.25" customHeight="1">
      <c r="A325" s="169"/>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ht="14.25" customHeight="1">
      <c r="A326" s="169"/>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ht="14.25" customHeight="1">
      <c r="A327" s="169"/>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ht="14.25" customHeight="1">
      <c r="A328" s="169"/>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ht="14.25" customHeight="1">
      <c r="A329" s="169"/>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ht="14.25" customHeight="1">
      <c r="A330" s="169"/>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ht="14.25" customHeight="1">
      <c r="A331" s="169"/>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ht="14.25" customHeight="1">
      <c r="A332" s="169"/>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ht="14.25" customHeight="1">
      <c r="A333" s="169"/>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ht="14.25" customHeight="1">
      <c r="A334" s="169"/>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ht="14.25" customHeight="1">
      <c r="A335" s="169"/>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ht="14.25" customHeight="1">
      <c r="A336" s="169"/>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ht="14.25" customHeight="1">
      <c r="A337" s="169"/>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ht="14.25" customHeight="1">
      <c r="A338" s="169"/>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ht="14.25" customHeight="1">
      <c r="A339" s="169"/>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ht="14.25" customHeight="1">
      <c r="A340" s="169"/>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ht="14.25" customHeight="1">
      <c r="A341" s="169"/>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ht="14.25" customHeight="1">
      <c r="A342" s="169"/>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ht="14.25" customHeight="1">
      <c r="A343" s="169"/>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ht="14.25" customHeight="1">
      <c r="A344" s="169"/>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ht="14.25" customHeight="1">
      <c r="A345" s="169"/>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ht="14.25" customHeight="1">
      <c r="A346" s="169"/>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ht="14.25" customHeight="1">
      <c r="A347" s="169"/>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ht="14.25" customHeight="1">
      <c r="A348" s="169"/>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ht="14.25" customHeight="1">
      <c r="A349" s="169"/>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ht="14.25" customHeight="1">
      <c r="A350" s="169"/>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ht="14.25" customHeight="1">
      <c r="A351" s="169"/>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ht="14.25" customHeight="1">
      <c r="A352" s="169"/>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ht="14.25" customHeight="1">
      <c r="A353" s="169"/>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ht="14.25" customHeight="1">
      <c r="A354" s="169"/>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ht="14.25" customHeight="1">
      <c r="A355" s="169"/>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ht="14.25" customHeight="1">
      <c r="A356" s="169"/>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ht="14.25" customHeight="1">
      <c r="A357" s="169"/>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ht="14.25" customHeight="1">
      <c r="A358" s="169"/>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ht="14.25" customHeight="1">
      <c r="A359" s="169"/>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ht="14.25" customHeight="1">
      <c r="A360" s="169"/>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ht="14.25" customHeight="1">
      <c r="A361" s="169"/>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ht="14.25" customHeight="1">
      <c r="A362" s="169"/>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ht="14.25" customHeight="1">
      <c r="A363" s="169"/>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ht="14.25" customHeight="1">
      <c r="A364" s="169"/>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ht="14.25" customHeight="1">
      <c r="A365" s="169"/>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ht="14.25" customHeight="1">
      <c r="A366" s="169"/>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ht="14.25" customHeight="1">
      <c r="A367" s="169"/>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ht="14.25" customHeight="1">
      <c r="A368" s="169"/>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ht="14.25" customHeight="1">
      <c r="A369" s="169"/>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ht="14.25" customHeight="1">
      <c r="A370" s="169"/>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ht="14.25" customHeight="1">
      <c r="A371" s="169"/>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ht="14.25" customHeight="1">
      <c r="A372" s="169"/>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ht="14.25" customHeight="1">
      <c r="A373" s="169"/>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ht="14.25" customHeight="1">
      <c r="A374" s="169"/>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ht="14.25" customHeight="1">
      <c r="A375" s="169"/>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ht="14.25" customHeight="1">
      <c r="A376" s="169"/>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ht="14.25" customHeight="1">
      <c r="A377" s="169"/>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ht="14.25" customHeight="1">
      <c r="A378" s="169"/>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ht="14.25" customHeight="1">
      <c r="A379" s="169"/>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ht="14.25" customHeight="1">
      <c r="A380" s="169"/>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ht="14.25" customHeight="1">
      <c r="A381" s="169"/>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ht="14.25" customHeight="1">
      <c r="A382" s="169"/>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ht="14.25" customHeight="1">
      <c r="A383" s="169"/>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ht="14.25" customHeight="1">
      <c r="A384" s="169"/>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ht="14.25" customHeight="1">
      <c r="A385" s="169"/>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ht="14.25" customHeight="1">
      <c r="A386" s="169"/>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ht="14.25" customHeight="1">
      <c r="A387" s="169"/>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ht="14.25" customHeight="1">
      <c r="A388" s="169"/>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ht="14.25" customHeight="1">
      <c r="A389" s="169"/>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ht="14.25" customHeight="1">
      <c r="A390" s="169"/>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ht="14.25" customHeight="1">
      <c r="A391" s="169"/>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ht="14.25" customHeight="1">
      <c r="A392" s="169"/>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ht="14.25" customHeight="1">
      <c r="A393" s="169"/>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ht="14.25" customHeight="1">
      <c r="A394" s="169"/>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ht="14.25" customHeight="1">
      <c r="A395" s="169"/>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ht="14.25" customHeight="1">
      <c r="A396" s="169"/>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ht="14.25" customHeight="1">
      <c r="A397" s="169"/>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ht="14.25" customHeight="1">
      <c r="A398" s="169"/>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ht="14.25" customHeight="1">
      <c r="A399" s="169"/>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ht="14.25" customHeight="1">
      <c r="A400" s="169"/>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ht="14.25" customHeight="1">
      <c r="A401" s="169"/>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ht="14.25" customHeight="1">
      <c r="A402" s="169"/>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ht="14.25" customHeight="1">
      <c r="A403" s="169"/>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ht="14.25" customHeight="1">
      <c r="A404" s="169"/>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ht="14.25" customHeight="1">
      <c r="A405" s="169"/>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ht="14.25" customHeight="1">
      <c r="A406" s="169"/>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ht="14.25" customHeight="1">
      <c r="A407" s="169"/>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ht="14.25" customHeight="1">
      <c r="A408" s="169"/>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ht="14.25" customHeight="1">
      <c r="A409" s="169"/>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ht="14.25" customHeight="1">
      <c r="A410" s="169"/>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ht="14.25" customHeight="1">
      <c r="A411" s="169"/>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ht="14.25" customHeight="1">
      <c r="A412" s="169"/>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ht="14.25" customHeight="1">
      <c r="A413" s="169"/>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ht="14.25" customHeight="1">
      <c r="A414" s="169"/>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ht="14.25" customHeight="1">
      <c r="A415" s="169"/>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ht="14.25" customHeight="1">
      <c r="A416" s="169"/>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ht="14.25" customHeight="1">
      <c r="A417" s="169"/>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ht="14.25" customHeight="1">
      <c r="A418" s="169"/>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ht="14.25" customHeight="1">
      <c r="A419" s="169"/>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ht="14.25" customHeight="1">
      <c r="A420" s="169"/>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ht="14.25" customHeight="1">
      <c r="A421" s="169"/>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ht="14.25" customHeight="1">
      <c r="A422" s="169"/>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ht="14.25" customHeight="1">
      <c r="A423" s="169"/>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ht="14.25" customHeight="1">
      <c r="A424" s="169"/>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ht="14.25" customHeight="1">
      <c r="A425" s="169"/>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ht="14.25" customHeight="1">
      <c r="A426" s="169"/>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ht="14.25" customHeight="1">
      <c r="A427" s="169"/>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ht="14.25" customHeight="1">
      <c r="A428" s="169"/>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ht="14.25" customHeight="1">
      <c r="A429" s="169"/>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ht="14.25" customHeight="1">
      <c r="A430" s="169"/>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ht="14.25" customHeight="1">
      <c r="A431" s="169"/>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ht="14.25" customHeight="1">
      <c r="A432" s="169"/>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ht="14.25" customHeight="1">
      <c r="A433" s="169"/>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ht="14.25" customHeight="1">
      <c r="A434" s="169"/>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ht="14.25" customHeight="1">
      <c r="A435" s="169"/>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ht="14.25" customHeight="1">
      <c r="A436" s="169"/>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ht="14.25" customHeight="1">
      <c r="A437" s="169"/>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ht="14.25" customHeight="1">
      <c r="A438" s="169"/>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ht="14.25" customHeight="1">
      <c r="A439" s="169"/>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ht="14.25" customHeight="1">
      <c r="A440" s="169"/>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ht="14.25" customHeight="1">
      <c r="A441" s="169"/>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ht="14.25" customHeight="1">
      <c r="A442" s="169"/>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ht="14.25" customHeight="1">
      <c r="A443" s="169"/>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ht="14.25" customHeight="1">
      <c r="A444" s="169"/>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ht="14.25" customHeight="1">
      <c r="A445" s="169"/>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ht="14.25" customHeight="1">
      <c r="A446" s="169"/>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ht="14.25" customHeight="1">
      <c r="A447" s="169"/>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ht="14.25" customHeight="1">
      <c r="A448" s="169"/>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ht="14.25" customHeight="1">
      <c r="A449" s="169"/>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ht="14.25" customHeight="1">
      <c r="A450" s="169"/>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ht="14.25" customHeight="1">
      <c r="A451" s="169"/>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ht="14.25" customHeight="1">
      <c r="A452" s="169"/>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ht="14.25" customHeight="1">
      <c r="A453" s="169"/>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ht="14.25" customHeight="1">
      <c r="A454" s="169"/>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ht="14.25" customHeight="1">
      <c r="A455" s="169"/>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ht="14.25" customHeight="1">
      <c r="A456" s="169"/>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ht="14.25" customHeight="1">
      <c r="A457" s="169"/>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ht="14.25" customHeight="1">
      <c r="A458" s="169"/>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ht="14.25" customHeight="1">
      <c r="A459" s="169"/>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ht="14.25" customHeight="1">
      <c r="A460" s="169"/>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ht="14.25" customHeight="1">
      <c r="A461" s="169"/>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ht="14.25" customHeight="1">
      <c r="A462" s="169"/>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ht="14.25" customHeight="1">
      <c r="A463" s="169"/>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ht="14.25" customHeight="1">
      <c r="A464" s="169"/>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ht="14.25" customHeight="1">
      <c r="A465" s="169"/>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ht="14.25" customHeight="1">
      <c r="A466" s="169"/>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ht="14.25" customHeight="1">
      <c r="A467" s="169"/>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ht="14.25" customHeight="1">
      <c r="A468" s="169"/>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ht="14.25" customHeight="1">
      <c r="A469" s="169"/>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ht="14.25" customHeight="1">
      <c r="A470" s="169"/>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ht="14.25" customHeight="1">
      <c r="A471" s="169"/>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ht="14.25" customHeight="1">
      <c r="A472" s="169"/>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ht="14.25" customHeight="1">
      <c r="A473" s="169"/>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ht="14.25" customHeight="1">
      <c r="A474" s="169"/>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ht="14.25" customHeight="1">
      <c r="A475" s="169"/>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ht="14.25" customHeight="1">
      <c r="A476" s="169"/>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ht="14.25" customHeight="1">
      <c r="A477" s="169"/>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ht="14.25" customHeight="1">
      <c r="A478" s="169"/>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ht="14.25" customHeight="1">
      <c r="A479" s="169"/>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ht="14.25" customHeight="1">
      <c r="A480" s="169"/>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ht="14.25" customHeight="1">
      <c r="A481" s="169"/>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ht="14.25" customHeight="1">
      <c r="A482" s="169"/>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ht="14.25" customHeight="1">
      <c r="A483" s="169"/>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ht="14.25" customHeight="1">
      <c r="A484" s="169"/>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ht="14.25" customHeight="1">
      <c r="A485" s="169"/>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ht="14.25" customHeight="1">
      <c r="A486" s="169"/>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ht="14.25" customHeight="1">
      <c r="A487" s="169"/>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ht="14.25" customHeight="1">
      <c r="A488" s="169"/>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ht="14.25" customHeight="1">
      <c r="A489" s="169"/>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ht="14.25" customHeight="1">
      <c r="A490" s="169"/>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ht="14.25" customHeight="1">
      <c r="A491" s="169"/>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ht="14.25" customHeight="1">
      <c r="A492" s="169"/>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ht="14.25" customHeight="1">
      <c r="A493" s="169"/>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ht="14.25" customHeight="1">
      <c r="A494" s="169"/>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ht="14.25" customHeight="1">
      <c r="A495" s="169"/>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ht="14.25" customHeight="1">
      <c r="A496" s="169"/>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ht="14.25" customHeight="1">
      <c r="A497" s="169"/>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ht="14.25" customHeight="1">
      <c r="A498" s="169"/>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ht="14.25" customHeight="1">
      <c r="A499" s="169"/>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ht="14.25" customHeight="1">
      <c r="A500" s="169"/>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ht="14.25" customHeight="1">
      <c r="A501" s="169"/>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ht="14.25" customHeight="1">
      <c r="A502" s="169"/>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ht="14.25" customHeight="1">
      <c r="A503" s="169"/>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ht="14.25" customHeight="1">
      <c r="A504" s="169"/>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ht="14.25" customHeight="1">
      <c r="A505" s="169"/>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ht="14.25" customHeight="1">
      <c r="A506" s="169"/>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ht="14.25" customHeight="1">
      <c r="A507" s="169"/>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ht="14.25" customHeight="1">
      <c r="A508" s="169"/>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ht="14.25" customHeight="1">
      <c r="A509" s="169"/>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ht="14.25" customHeight="1">
      <c r="A510" s="169"/>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ht="14.25" customHeight="1">
      <c r="A511" s="169"/>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ht="14.25" customHeight="1">
      <c r="A512" s="169"/>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ht="14.25" customHeight="1">
      <c r="A513" s="169"/>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ht="14.25" customHeight="1">
      <c r="A514" s="169"/>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ht="14.25" customHeight="1">
      <c r="A515" s="169"/>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ht="14.25" customHeight="1">
      <c r="A516" s="169"/>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ht="14.25" customHeight="1">
      <c r="A517" s="169"/>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ht="14.25" customHeight="1">
      <c r="A518" s="169"/>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ht="14.25" customHeight="1">
      <c r="A519" s="169"/>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ht="14.25" customHeight="1">
      <c r="A520" s="169"/>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ht="14.25" customHeight="1">
      <c r="A521" s="169"/>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ht="14.25" customHeight="1">
      <c r="A522" s="169"/>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ht="14.25" customHeight="1">
      <c r="A523" s="169"/>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ht="14.25" customHeight="1">
      <c r="A524" s="169"/>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ht="14.25" customHeight="1">
      <c r="A525" s="169"/>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ht="14.25" customHeight="1">
      <c r="A526" s="169"/>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ht="14.25" customHeight="1">
      <c r="A527" s="169"/>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ht="14.25" customHeight="1">
      <c r="A528" s="169"/>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ht="14.25" customHeight="1">
      <c r="A529" s="169"/>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ht="14.25" customHeight="1">
      <c r="A530" s="169"/>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ht="14.25" customHeight="1">
      <c r="A531" s="169"/>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ht="14.25" customHeight="1">
      <c r="A532" s="169"/>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ht="14.25" customHeight="1">
      <c r="A533" s="169"/>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ht="14.25" customHeight="1">
      <c r="A534" s="169"/>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ht="14.25" customHeight="1">
      <c r="A535" s="169"/>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ht="14.25" customHeight="1">
      <c r="A536" s="169"/>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ht="14.25" customHeight="1">
      <c r="A537" s="169"/>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ht="14.25" customHeight="1">
      <c r="A538" s="169"/>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ht="14.25" customHeight="1">
      <c r="A539" s="169"/>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ht="14.25" customHeight="1">
      <c r="A540" s="169"/>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ht="14.25" customHeight="1">
      <c r="A541" s="169"/>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ht="14.25" customHeight="1">
      <c r="A542" s="169"/>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ht="14.25" customHeight="1">
      <c r="A543" s="169"/>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ht="14.25" customHeight="1">
      <c r="A544" s="169"/>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ht="14.25" customHeight="1">
      <c r="A545" s="169"/>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ht="14.25" customHeight="1">
      <c r="A546" s="169"/>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ht="14.25" customHeight="1">
      <c r="A547" s="169"/>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ht="14.25" customHeight="1">
      <c r="A548" s="169"/>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ht="14.25" customHeight="1">
      <c r="A549" s="169"/>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ht="14.25" customHeight="1">
      <c r="A550" s="169"/>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ht="14.25" customHeight="1">
      <c r="A551" s="169"/>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ht="14.25" customHeight="1">
      <c r="A552" s="169"/>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ht="14.25" customHeight="1">
      <c r="A553" s="169"/>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ht="14.25" customHeight="1">
      <c r="A554" s="169"/>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ht="14.25" customHeight="1">
      <c r="A555" s="169"/>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ht="14.25" customHeight="1">
      <c r="A556" s="169"/>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ht="14.25" customHeight="1">
      <c r="A557" s="169"/>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ht="14.25" customHeight="1">
      <c r="A558" s="169"/>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ht="14.25" customHeight="1">
      <c r="A559" s="169"/>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ht="14.25" customHeight="1">
      <c r="A560" s="169"/>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ht="14.25" customHeight="1">
      <c r="A561" s="169"/>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ht="14.25" customHeight="1">
      <c r="A562" s="169"/>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ht="14.25" customHeight="1">
      <c r="A563" s="169"/>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ht="14.25" customHeight="1">
      <c r="A564" s="169"/>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ht="14.25" customHeight="1">
      <c r="A565" s="169"/>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ht="14.25" customHeight="1">
      <c r="A566" s="169"/>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ht="14.25" customHeight="1">
      <c r="A567" s="169"/>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ht="14.25" customHeight="1">
      <c r="A568" s="169"/>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ht="14.25" customHeight="1">
      <c r="A569" s="169"/>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ht="14.25" customHeight="1">
      <c r="A570" s="169"/>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ht="14.25" customHeight="1">
      <c r="A571" s="169"/>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ht="14.25" customHeight="1">
      <c r="A572" s="169"/>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ht="14.25" customHeight="1">
      <c r="A573" s="169"/>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ht="14.25" customHeight="1">
      <c r="A574" s="169"/>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ht="14.25" customHeight="1">
      <c r="A575" s="169"/>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ht="14.25" customHeight="1">
      <c r="A576" s="169"/>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ht="14.25" customHeight="1">
      <c r="A577" s="169"/>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ht="14.25" customHeight="1">
      <c r="A578" s="169"/>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ht="14.25" customHeight="1">
      <c r="A579" s="169"/>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ht="14.25" customHeight="1">
      <c r="A580" s="169"/>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ht="14.25" customHeight="1">
      <c r="A581" s="169"/>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ht="14.25" customHeight="1">
      <c r="A582" s="169"/>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ht="14.25" customHeight="1">
      <c r="A583" s="169"/>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ht="14.25" customHeight="1">
      <c r="A584" s="169"/>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ht="14.25" customHeight="1">
      <c r="A585" s="169"/>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ht="14.25" customHeight="1">
      <c r="A586" s="169"/>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ht="14.25" customHeight="1">
      <c r="A587" s="169"/>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ht="14.25" customHeight="1">
      <c r="A588" s="169"/>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ht="14.25" customHeight="1">
      <c r="A589" s="169"/>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ht="14.25" customHeight="1">
      <c r="A590" s="169"/>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ht="14.25" customHeight="1">
      <c r="A591" s="169"/>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ht="14.25" customHeight="1">
      <c r="A592" s="169"/>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ht="14.25" customHeight="1">
      <c r="A593" s="169"/>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ht="14.25" customHeight="1">
      <c r="A594" s="169"/>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ht="14.25" customHeight="1">
      <c r="A595" s="169"/>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ht="14.25" customHeight="1">
      <c r="A596" s="169"/>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ht="14.25" customHeight="1">
      <c r="A597" s="169"/>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ht="14.25" customHeight="1">
      <c r="A598" s="169"/>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ht="14.25" customHeight="1">
      <c r="A599" s="169"/>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ht="14.25" customHeight="1">
      <c r="A600" s="169"/>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ht="14.25" customHeight="1">
      <c r="A601" s="169"/>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ht="14.25" customHeight="1">
      <c r="A602" s="169"/>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ht="14.25" customHeight="1">
      <c r="A603" s="169"/>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ht="14.25" customHeight="1">
      <c r="A604" s="169"/>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ht="14.25" customHeight="1">
      <c r="A605" s="169"/>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ht="14.25" customHeight="1">
      <c r="A606" s="169"/>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ht="14.25" customHeight="1">
      <c r="A607" s="169"/>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ht="14.25" customHeight="1">
      <c r="A608" s="169"/>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ht="14.25" customHeight="1">
      <c r="A609" s="169"/>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ht="14.25" customHeight="1">
      <c r="A610" s="169"/>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ht="14.25" customHeight="1">
      <c r="A611" s="169"/>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ht="14.25" customHeight="1">
      <c r="A612" s="169"/>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ht="14.25" customHeight="1">
      <c r="A613" s="169"/>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ht="14.25" customHeight="1">
      <c r="A614" s="169"/>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ht="14.25" customHeight="1">
      <c r="A615" s="169"/>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ht="14.25" customHeight="1">
      <c r="A616" s="169"/>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ht="14.25" customHeight="1">
      <c r="A617" s="169"/>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ht="14.25" customHeight="1">
      <c r="A618" s="169"/>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ht="14.25" customHeight="1">
      <c r="A619" s="169"/>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ht="14.25" customHeight="1">
      <c r="A620" s="169"/>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ht="14.25" customHeight="1">
      <c r="A621" s="169"/>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ht="14.25" customHeight="1">
      <c r="A622" s="169"/>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ht="14.25" customHeight="1">
      <c r="A623" s="169"/>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ht="14.25" customHeight="1">
      <c r="A624" s="169"/>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ht="14.25" customHeight="1">
      <c r="A625" s="169"/>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ht="14.25" customHeight="1">
      <c r="A626" s="169"/>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ht="14.25" customHeight="1">
      <c r="A627" s="169"/>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ht="14.25" customHeight="1">
      <c r="A628" s="169"/>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ht="14.25" customHeight="1">
      <c r="A629" s="169"/>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ht="14.25" customHeight="1">
      <c r="A630" s="169"/>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ht="14.25" customHeight="1">
      <c r="A631" s="169"/>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ht="14.25" customHeight="1">
      <c r="A632" s="169"/>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ht="14.25" customHeight="1">
      <c r="A633" s="169"/>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ht="14.25" customHeight="1">
      <c r="A634" s="169"/>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ht="14.25" customHeight="1">
      <c r="A635" s="169"/>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ht="14.25" customHeight="1">
      <c r="A636" s="169"/>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ht="14.25" customHeight="1">
      <c r="A637" s="169"/>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ht="14.25" customHeight="1">
      <c r="A638" s="169"/>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ht="14.25" customHeight="1">
      <c r="A639" s="169"/>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ht="14.25" customHeight="1">
      <c r="A640" s="169"/>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ht="14.25" customHeight="1">
      <c r="A641" s="169"/>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ht="14.25" customHeight="1">
      <c r="A642" s="169"/>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ht="14.25" customHeight="1">
      <c r="A643" s="169"/>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ht="14.25" customHeight="1">
      <c r="A644" s="169"/>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ht="14.25" customHeight="1">
      <c r="A645" s="169"/>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ht="14.25" customHeight="1">
      <c r="A646" s="169"/>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ht="14.25" customHeight="1">
      <c r="A647" s="169"/>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ht="14.25" customHeight="1">
      <c r="A648" s="169"/>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ht="14.25" customHeight="1">
      <c r="A649" s="169"/>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ht="14.25" customHeight="1">
      <c r="A650" s="169"/>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ht="14.25" customHeight="1">
      <c r="A651" s="169"/>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ht="14.25" customHeight="1">
      <c r="A652" s="169"/>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ht="14.25" customHeight="1">
      <c r="A653" s="169"/>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ht="14.25" customHeight="1">
      <c r="A654" s="169"/>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ht="14.25" customHeight="1">
      <c r="A655" s="169"/>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ht="14.25" customHeight="1">
      <c r="A656" s="169"/>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ht="14.25" customHeight="1">
      <c r="A657" s="169"/>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ht="14.25" customHeight="1">
      <c r="A658" s="169"/>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ht="14.25" customHeight="1">
      <c r="A659" s="169"/>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ht="14.25" customHeight="1">
      <c r="A660" s="169"/>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ht="14.25" customHeight="1">
      <c r="A661" s="169"/>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ht="14.25" customHeight="1">
      <c r="A662" s="169"/>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ht="14.25" customHeight="1">
      <c r="A663" s="169"/>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ht="14.25" customHeight="1">
      <c r="A664" s="169"/>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ht="14.25" customHeight="1">
      <c r="A665" s="169"/>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ht="14.25" customHeight="1">
      <c r="A666" s="169"/>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ht="14.25" customHeight="1">
      <c r="A667" s="169"/>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ht="14.25" customHeight="1">
      <c r="A668" s="169"/>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ht="14.25" customHeight="1">
      <c r="A669" s="169"/>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ht="14.25" customHeight="1">
      <c r="A670" s="169"/>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ht="14.25" customHeight="1">
      <c r="A671" s="169"/>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ht="14.25" customHeight="1">
      <c r="A672" s="169"/>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ht="14.25" customHeight="1">
      <c r="A673" s="169"/>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ht="14.25" customHeight="1">
      <c r="A674" s="169"/>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ht="14.25" customHeight="1">
      <c r="A675" s="169"/>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ht="14.25" customHeight="1">
      <c r="A676" s="169"/>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ht="14.25" customHeight="1">
      <c r="A677" s="169"/>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ht="14.25" customHeight="1">
      <c r="A678" s="169"/>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ht="14.25" customHeight="1">
      <c r="A679" s="169"/>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ht="14.25" customHeight="1">
      <c r="A680" s="169"/>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ht="14.25" customHeight="1">
      <c r="A681" s="169"/>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ht="14.25" customHeight="1">
      <c r="A682" s="169"/>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ht="14.25" customHeight="1">
      <c r="A683" s="169"/>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ht="14.25" customHeight="1">
      <c r="A684" s="169"/>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ht="14.25" customHeight="1">
      <c r="A685" s="169"/>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ht="14.25" customHeight="1">
      <c r="A686" s="169"/>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ht="14.25" customHeight="1">
      <c r="A687" s="169"/>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ht="14.25" customHeight="1">
      <c r="A688" s="169"/>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ht="14.25" customHeight="1">
      <c r="A689" s="169"/>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ht="14.25" customHeight="1">
      <c r="A690" s="169"/>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ht="14.25" customHeight="1">
      <c r="A691" s="169"/>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ht="14.25" customHeight="1">
      <c r="A692" s="169"/>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ht="14.25" customHeight="1">
      <c r="A693" s="169"/>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ht="14.25" customHeight="1">
      <c r="A694" s="169"/>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ht="14.25" customHeight="1">
      <c r="A695" s="169"/>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ht="14.25" customHeight="1">
      <c r="A696" s="169"/>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ht="14.25" customHeight="1">
      <c r="A697" s="169"/>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ht="14.25" customHeight="1">
      <c r="A698" s="169"/>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ht="14.25" customHeight="1">
      <c r="A699" s="169"/>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ht="14.25" customHeight="1">
      <c r="A700" s="169"/>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ht="14.25" customHeight="1">
      <c r="A701" s="169"/>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ht="14.25" customHeight="1">
      <c r="A702" s="169"/>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ht="14.25" customHeight="1">
      <c r="A703" s="169"/>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ht="14.25" customHeight="1">
      <c r="A704" s="169"/>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ht="14.25" customHeight="1">
      <c r="A705" s="169"/>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ht="14.25" customHeight="1">
      <c r="A706" s="169"/>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ht="14.25" customHeight="1">
      <c r="A707" s="169"/>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ht="14.25" customHeight="1">
      <c r="A708" s="169"/>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ht="14.25" customHeight="1">
      <c r="A709" s="169"/>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ht="14.25" customHeight="1">
      <c r="A710" s="169"/>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ht="14.25" customHeight="1">
      <c r="A711" s="169"/>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ht="14.25" customHeight="1">
      <c r="A712" s="169"/>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ht="14.25" customHeight="1">
      <c r="A713" s="169"/>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ht="14.25" customHeight="1">
      <c r="A714" s="169"/>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ht="14.25" customHeight="1">
      <c r="A715" s="169"/>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ht="14.25" customHeight="1">
      <c r="A716" s="169"/>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ht="14.25" customHeight="1">
      <c r="A717" s="169"/>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ht="14.25" customHeight="1">
      <c r="A718" s="169"/>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ht="14.25" customHeight="1">
      <c r="A719" s="169"/>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ht="14.25" customHeight="1">
      <c r="A720" s="169"/>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ht="14.25" customHeight="1">
      <c r="A721" s="169"/>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ht="14.25" customHeight="1">
      <c r="A722" s="169"/>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ht="14.25" customHeight="1">
      <c r="A723" s="169"/>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ht="14.25" customHeight="1">
      <c r="A724" s="169"/>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ht="14.25" customHeight="1">
      <c r="A725" s="169"/>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ht="14.25" customHeight="1">
      <c r="A726" s="169"/>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ht="14.25" customHeight="1">
      <c r="A727" s="169"/>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ht="14.25" customHeight="1">
      <c r="A728" s="169"/>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ht="14.25" customHeight="1">
      <c r="A729" s="169"/>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ht="14.25" customHeight="1">
      <c r="A730" s="169"/>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ht="14.25" customHeight="1">
      <c r="A731" s="169"/>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ht="14.25" customHeight="1">
      <c r="A732" s="169"/>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ht="14.25" customHeight="1">
      <c r="A733" s="169"/>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ht="14.25" customHeight="1">
      <c r="A734" s="169"/>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ht="14.25" customHeight="1">
      <c r="A735" s="169"/>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ht="14.25" customHeight="1">
      <c r="A736" s="169"/>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ht="14.25" customHeight="1">
      <c r="A737" s="169"/>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ht="14.25" customHeight="1">
      <c r="A738" s="169"/>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ht="14.25" customHeight="1">
      <c r="A739" s="169"/>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ht="14.25" customHeight="1">
      <c r="A740" s="169"/>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ht="14.25" customHeight="1">
      <c r="A741" s="169"/>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ht="14.25" customHeight="1">
      <c r="A742" s="169"/>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ht="14.25" customHeight="1">
      <c r="A743" s="169"/>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ht="14.25" customHeight="1">
      <c r="A744" s="169"/>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ht="14.25" customHeight="1">
      <c r="A745" s="169"/>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ht="14.25" customHeight="1">
      <c r="A746" s="169"/>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ht="14.25" customHeight="1">
      <c r="A747" s="169"/>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ht="14.25" customHeight="1">
      <c r="A748" s="169"/>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ht="14.25" customHeight="1">
      <c r="A749" s="169"/>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ht="14.25" customHeight="1">
      <c r="A750" s="169"/>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ht="14.25" customHeight="1">
      <c r="A751" s="169"/>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ht="14.25" customHeight="1">
      <c r="A752" s="169"/>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ht="14.25" customHeight="1">
      <c r="A753" s="169"/>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ht="14.25" customHeight="1">
      <c r="A754" s="169"/>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ht="14.25" customHeight="1">
      <c r="A755" s="169"/>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ht="14.25" customHeight="1">
      <c r="A756" s="169"/>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ht="14.25" customHeight="1">
      <c r="A757" s="169"/>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ht="14.25" customHeight="1">
      <c r="A758" s="169"/>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ht="14.25" customHeight="1">
      <c r="A759" s="169"/>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ht="14.25" customHeight="1">
      <c r="A760" s="169"/>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ht="14.25" customHeight="1">
      <c r="A761" s="169"/>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ht="14.25" customHeight="1">
      <c r="A762" s="169"/>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ht="14.25" customHeight="1">
      <c r="A763" s="169"/>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ht="14.25" customHeight="1">
      <c r="A764" s="169"/>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ht="14.25" customHeight="1">
      <c r="A765" s="169"/>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ht="14.25" customHeight="1">
      <c r="A766" s="169"/>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ht="14.25" customHeight="1">
      <c r="A767" s="169"/>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ht="14.25" customHeight="1">
      <c r="A768" s="169"/>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ht="14.25" customHeight="1">
      <c r="A769" s="169"/>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ht="14.25" customHeight="1">
      <c r="A770" s="169"/>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ht="14.25" customHeight="1">
      <c r="A771" s="169"/>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ht="14.25" customHeight="1">
      <c r="A772" s="169"/>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ht="14.25" customHeight="1">
      <c r="A773" s="169"/>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ht="14.25" customHeight="1">
      <c r="A774" s="169"/>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ht="14.25" customHeight="1">
      <c r="A775" s="169"/>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ht="14.25" customHeight="1">
      <c r="A776" s="169"/>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ht="14.25" customHeight="1">
      <c r="A777" s="169"/>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ht="14.25" customHeight="1">
      <c r="A778" s="169"/>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ht="14.25" customHeight="1">
      <c r="A779" s="169"/>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ht="14.25" customHeight="1">
      <c r="A780" s="169"/>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ht="14.25" customHeight="1">
      <c r="A781" s="169"/>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ht="14.25" customHeight="1">
      <c r="A782" s="169"/>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ht="14.25" customHeight="1">
      <c r="A783" s="169"/>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ht="14.25" customHeight="1">
      <c r="A784" s="169"/>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ht="14.25" customHeight="1">
      <c r="A785" s="169"/>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ht="14.25" customHeight="1">
      <c r="A786" s="169"/>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ht="14.25" customHeight="1">
      <c r="A787" s="169"/>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ht="14.25" customHeight="1">
      <c r="A788" s="169"/>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ht="14.25" customHeight="1">
      <c r="A789" s="169"/>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ht="14.25" customHeight="1">
      <c r="A790" s="169"/>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ht="14.25" customHeight="1">
      <c r="A791" s="169"/>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ht="14.25" customHeight="1">
      <c r="A792" s="169"/>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ht="14.25" customHeight="1">
      <c r="A793" s="169"/>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ht="14.25" customHeight="1">
      <c r="A794" s="169"/>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ht="14.25" customHeight="1">
      <c r="A795" s="169"/>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ht="14.25" customHeight="1">
      <c r="A796" s="169"/>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ht="14.25" customHeight="1">
      <c r="A797" s="169"/>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ht="14.25" customHeight="1">
      <c r="A798" s="169"/>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ht="14.25" customHeight="1">
      <c r="A799" s="169"/>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ht="14.25" customHeight="1">
      <c r="A800" s="169"/>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ht="14.25" customHeight="1">
      <c r="A801" s="169"/>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ht="14.25" customHeight="1">
      <c r="A802" s="169"/>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ht="14.25" customHeight="1">
      <c r="A803" s="169"/>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ht="14.25" customHeight="1">
      <c r="A804" s="169"/>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ht="14.25" customHeight="1">
      <c r="A805" s="169"/>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ht="14.25" customHeight="1">
      <c r="A806" s="169"/>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ht="14.25" customHeight="1">
      <c r="A807" s="169"/>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ht="14.25" customHeight="1">
      <c r="A808" s="169"/>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ht="14.25" customHeight="1">
      <c r="A809" s="169"/>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ht="14.25" customHeight="1">
      <c r="A810" s="169"/>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ht="14.25" customHeight="1">
      <c r="A811" s="169"/>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ht="14.25" customHeight="1">
      <c r="A812" s="169"/>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ht="14.25" customHeight="1">
      <c r="A813" s="169"/>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ht="14.25" customHeight="1">
      <c r="A814" s="169"/>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ht="14.25" customHeight="1">
      <c r="A815" s="169"/>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ht="14.25" customHeight="1">
      <c r="A816" s="169"/>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ht="14.25" customHeight="1">
      <c r="A817" s="169"/>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ht="14.25" customHeight="1">
      <c r="A818" s="169"/>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ht="14.25" customHeight="1">
      <c r="A819" s="169"/>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ht="14.25" customHeight="1">
      <c r="A820" s="169"/>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ht="14.25" customHeight="1">
      <c r="A821" s="169"/>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ht="14.25" customHeight="1">
      <c r="A822" s="169"/>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ht="14.25" customHeight="1">
      <c r="A823" s="169"/>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ht="14.25" customHeight="1">
      <c r="A824" s="169"/>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ht="14.25" customHeight="1">
      <c r="A825" s="169"/>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ht="14.25" customHeight="1">
      <c r="A826" s="169"/>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ht="14.25" customHeight="1">
      <c r="A827" s="169"/>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ht="14.25" customHeight="1">
      <c r="A828" s="169"/>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ht="14.25" customHeight="1">
      <c r="A829" s="169"/>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ht="14.25" customHeight="1">
      <c r="A830" s="169"/>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ht="14.25" customHeight="1">
      <c r="A831" s="169"/>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ht="14.25" customHeight="1">
      <c r="A832" s="169"/>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ht="14.25" customHeight="1">
      <c r="A833" s="169"/>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ht="14.25" customHeight="1">
      <c r="A834" s="169"/>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ht="14.25" customHeight="1">
      <c r="A835" s="169"/>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ht="14.25" customHeight="1">
      <c r="A836" s="169"/>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ht="14.25" customHeight="1">
      <c r="A837" s="169"/>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ht="14.25" customHeight="1">
      <c r="A838" s="169"/>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ht="14.25" customHeight="1">
      <c r="A839" s="169"/>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ht="14.25" customHeight="1">
      <c r="A840" s="169"/>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ht="14.25" customHeight="1">
      <c r="A841" s="169"/>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ht="14.25" customHeight="1">
      <c r="A842" s="169"/>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ht="14.25" customHeight="1">
      <c r="A843" s="169"/>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ht="14.25" customHeight="1">
      <c r="A844" s="169"/>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ht="14.25" customHeight="1">
      <c r="A845" s="169"/>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ht="14.25" customHeight="1">
      <c r="A846" s="169"/>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ht="14.25" customHeight="1">
      <c r="A847" s="169"/>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ht="14.25" customHeight="1">
      <c r="A848" s="169"/>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ht="14.25" customHeight="1">
      <c r="A849" s="169"/>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ht="14.25" customHeight="1">
      <c r="A850" s="169"/>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ht="14.25" customHeight="1">
      <c r="A851" s="169"/>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ht="14.25" customHeight="1">
      <c r="A852" s="169"/>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ht="14.25" customHeight="1">
      <c r="A853" s="169"/>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ht="14.25" customHeight="1">
      <c r="A854" s="169"/>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ht="14.25" customHeight="1">
      <c r="A855" s="169"/>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ht="14.25" customHeight="1">
      <c r="A856" s="169"/>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ht="14.25" customHeight="1">
      <c r="A857" s="169"/>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ht="14.25" customHeight="1">
      <c r="A858" s="169"/>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ht="14.25" customHeight="1">
      <c r="A859" s="169"/>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ht="14.25" customHeight="1">
      <c r="A860" s="169"/>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ht="14.25" customHeight="1">
      <c r="A861" s="169"/>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ht="14.25" customHeight="1">
      <c r="A862" s="169"/>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ht="14.25" customHeight="1">
      <c r="A863" s="169"/>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ht="14.25" customHeight="1">
      <c r="A864" s="169"/>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ht="14.25" customHeight="1">
      <c r="A865" s="169"/>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ht="14.25" customHeight="1">
      <c r="A866" s="169"/>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ht="14.25" customHeight="1">
      <c r="A867" s="169"/>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ht="14.25" customHeight="1">
      <c r="A868" s="169"/>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ht="14.25" customHeight="1">
      <c r="A869" s="169"/>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ht="14.25" customHeight="1">
      <c r="A870" s="169"/>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ht="14.25" customHeight="1">
      <c r="A871" s="169"/>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ht="14.25" customHeight="1">
      <c r="A872" s="169"/>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ht="14.25" customHeight="1">
      <c r="A873" s="169"/>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ht="14.25" customHeight="1">
      <c r="A874" s="169"/>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ht="14.25" customHeight="1">
      <c r="A875" s="169"/>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ht="14.25" customHeight="1">
      <c r="A876" s="169"/>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ht="14.25" customHeight="1">
      <c r="A877" s="169"/>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ht="14.25" customHeight="1">
      <c r="A878" s="169"/>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ht="14.25" customHeight="1">
      <c r="A879" s="169"/>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ht="14.25" customHeight="1">
      <c r="A880" s="169"/>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ht="14.25" customHeight="1">
      <c r="A881" s="169"/>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ht="14.25" customHeight="1">
      <c r="A882" s="169"/>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ht="14.25" customHeight="1">
      <c r="A883" s="169"/>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ht="14.25" customHeight="1">
      <c r="A884" s="169"/>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ht="14.25" customHeight="1">
      <c r="A885" s="169"/>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ht="14.25" customHeight="1">
      <c r="A886" s="169"/>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ht="14.25" customHeight="1">
      <c r="A887" s="169"/>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ht="14.25" customHeight="1">
      <c r="A888" s="169"/>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ht="14.25" customHeight="1">
      <c r="A889" s="169"/>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ht="14.25" customHeight="1">
      <c r="A890" s="169"/>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ht="14.25" customHeight="1">
      <c r="A891" s="169"/>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ht="14.25" customHeight="1">
      <c r="A892" s="169"/>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ht="14.25" customHeight="1">
      <c r="A893" s="169"/>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ht="14.25" customHeight="1">
      <c r="A894" s="169"/>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ht="14.25" customHeight="1">
      <c r="A895" s="169"/>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ht="14.25" customHeight="1">
      <c r="A896" s="169"/>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ht="14.25" customHeight="1">
      <c r="A897" s="169"/>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ht="14.25" customHeight="1">
      <c r="A898" s="169"/>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ht="14.25" customHeight="1">
      <c r="A899" s="169"/>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ht="14.25" customHeight="1">
      <c r="A900" s="169"/>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ht="14.25" customHeight="1">
      <c r="A901" s="169"/>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ht="14.25" customHeight="1">
      <c r="A902" s="169"/>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ht="14.25" customHeight="1">
      <c r="A903" s="169"/>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ht="14.25" customHeight="1">
      <c r="A904" s="169"/>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ht="14.25" customHeight="1">
      <c r="A905" s="169"/>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ht="14.25" customHeight="1">
      <c r="A906" s="169"/>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ht="14.25" customHeight="1">
      <c r="A907" s="169"/>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ht="14.25" customHeight="1">
      <c r="A908" s="169"/>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ht="14.25" customHeight="1">
      <c r="A909" s="169"/>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ht="14.25" customHeight="1">
      <c r="A910" s="169"/>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ht="14.25" customHeight="1">
      <c r="A911" s="169"/>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ht="14.25" customHeight="1">
      <c r="A912" s="169"/>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ht="14.25" customHeight="1">
      <c r="A913" s="169"/>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ht="14.25" customHeight="1">
      <c r="A914" s="169"/>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ht="14.25" customHeight="1">
      <c r="A915" s="169"/>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ht="14.25" customHeight="1">
      <c r="A916" s="169"/>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ht="14.25" customHeight="1">
      <c r="A917" s="169"/>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ht="14.25" customHeight="1">
      <c r="A918" s="169"/>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ht="14.25" customHeight="1">
      <c r="A919" s="169"/>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ht="14.25" customHeight="1">
      <c r="A920" s="169"/>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ht="14.25" customHeight="1">
      <c r="A921" s="169"/>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ht="14.25" customHeight="1">
      <c r="A922" s="169"/>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ht="14.25" customHeight="1">
      <c r="A923" s="169"/>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ht="14.25" customHeight="1">
      <c r="A924" s="169"/>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ht="14.25" customHeight="1">
      <c r="A925" s="169"/>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ht="14.25" customHeight="1">
      <c r="A926" s="169"/>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ht="14.25" customHeight="1">
      <c r="A927" s="169"/>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ht="14.25" customHeight="1">
      <c r="A928" s="169"/>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ht="14.25" customHeight="1">
      <c r="A929" s="169"/>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ht="14.25" customHeight="1">
      <c r="A930" s="169"/>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ht="14.25" customHeight="1">
      <c r="A931" s="169"/>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ht="14.25" customHeight="1">
      <c r="A932" s="169"/>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ht="14.25" customHeight="1">
      <c r="A933" s="169"/>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ht="14.25" customHeight="1">
      <c r="A934" s="169"/>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ht="14.25" customHeight="1">
      <c r="A935" s="169"/>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ht="14.25" customHeight="1">
      <c r="A936" s="169"/>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ht="14.25" customHeight="1">
      <c r="A937" s="169"/>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ht="14.25" customHeight="1">
      <c r="A938" s="169"/>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ht="14.25" customHeight="1">
      <c r="A939" s="169"/>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ht="14.25" customHeight="1">
      <c r="A940" s="169"/>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ht="14.25" customHeight="1">
      <c r="A941" s="169"/>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ht="14.25" customHeight="1">
      <c r="A942" s="169"/>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ht="14.25" customHeight="1">
      <c r="A943" s="169"/>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ht="14.25" customHeight="1">
      <c r="A944" s="169"/>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ht="14.25" customHeight="1">
      <c r="A945" s="169"/>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ht="14.25" customHeight="1">
      <c r="A946" s="169"/>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ht="14.25" customHeight="1">
      <c r="A947" s="169"/>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ht="14.25" customHeight="1">
      <c r="A948" s="169"/>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ht="14.25" customHeight="1">
      <c r="A949" s="169"/>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ht="14.25" customHeight="1">
      <c r="A950" s="169"/>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ht="14.25" customHeight="1">
      <c r="A951" s="169"/>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ht="14.25" customHeight="1">
      <c r="A952" s="169"/>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ht="14.25" customHeight="1">
      <c r="A953" s="169"/>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ht="14.25" customHeight="1">
      <c r="A954" s="169"/>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ht="14.25" customHeight="1">
      <c r="A955" s="169"/>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ht="14.25" customHeight="1">
      <c r="A956" s="169"/>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ht="14.25" customHeight="1">
      <c r="A957" s="169"/>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ht="14.25" customHeight="1">
      <c r="A958" s="169"/>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ht="14.25" customHeight="1">
      <c r="A959" s="169"/>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ht="14.25" customHeight="1">
      <c r="A960" s="169"/>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ht="14.25" customHeight="1">
      <c r="A961" s="169"/>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ht="14.25" customHeight="1">
      <c r="A962" s="169"/>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ht="14.25" customHeight="1">
      <c r="A963" s="169"/>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ht="14.25" customHeight="1">
      <c r="A964" s="169"/>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ht="14.25" customHeight="1">
      <c r="A965" s="169"/>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ht="14.25" customHeight="1">
      <c r="A966" s="169"/>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ht="14.25" customHeight="1">
      <c r="A967" s="169"/>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ht="14.25" customHeight="1">
      <c r="A968" s="169"/>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ht="14.25" customHeight="1">
      <c r="A969" s="169"/>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ht="14.25" customHeight="1">
      <c r="A970" s="169"/>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ht="14.25" customHeight="1">
      <c r="A971" s="169"/>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ht="14.25" customHeight="1">
      <c r="A972" s="169"/>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ht="14.25" customHeight="1">
      <c r="A973" s="169"/>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ht="14.25" customHeight="1">
      <c r="A974" s="169"/>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ht="14.25" customHeight="1">
      <c r="A975" s="169"/>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ht="14.25" customHeight="1">
      <c r="A976" s="169"/>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ht="14.25" customHeight="1">
      <c r="A977" s="169"/>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ht="14.25" customHeight="1">
      <c r="A978" s="169"/>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ht="14.25" customHeight="1">
      <c r="A979" s="169"/>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ht="14.25" customHeight="1">
      <c r="A980" s="169"/>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ht="14.25" customHeight="1">
      <c r="A981" s="169"/>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ht="14.25" customHeight="1">
      <c r="A982" s="169"/>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ht="14.25" customHeight="1">
      <c r="A983" s="169"/>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ht="14.25" customHeight="1">
      <c r="A984" s="169"/>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ht="14.25" customHeight="1">
      <c r="A985" s="169"/>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ht="14.25" customHeight="1">
      <c r="A986" s="169"/>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ht="14.25" customHeight="1">
      <c r="A987" s="169"/>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ht="14.25" customHeight="1">
      <c r="A988" s="169"/>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ht="14.25" customHeight="1">
      <c r="A989" s="169"/>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ht="14.25" customHeight="1">
      <c r="A990" s="169"/>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ht="14.25" customHeight="1">
      <c r="A991" s="169"/>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ht="14.25" customHeight="1">
      <c r="A992" s="169"/>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ht="14.25" customHeight="1">
      <c r="A993" s="169"/>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ht="14.25" customHeight="1">
      <c r="A994" s="169"/>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ht="14.25" customHeight="1">
      <c r="A995" s="169"/>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ht="14.25" customHeight="1">
      <c r="A996" s="169"/>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ht="14.25" customHeight="1">
      <c r="A997" s="169"/>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ht="14.25" customHeight="1">
      <c r="A998" s="169"/>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sheetData>
  <mergeCells count="4">
    <mergeCell ref="B1:O1"/>
    <mergeCell ref="B2:O2"/>
    <mergeCell ref="B59:B64"/>
    <mergeCell ref="C59:O5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13.0"/>
    <col customWidth="1" min="3" max="3" width="27.38"/>
    <col customWidth="1" min="4" max="4" width="15.63"/>
    <col customWidth="1" min="5" max="5" width="10.63"/>
    <col customWidth="1" min="6" max="6" width="14.88"/>
    <col customWidth="1" min="7" max="7" width="27.88"/>
    <col customWidth="1" min="8" max="8" width="46.75"/>
    <col customWidth="1" min="9" max="9" width="10.75"/>
    <col customWidth="1" min="10" max="10" width="8.88"/>
    <col customWidth="1" min="11" max="11" width="8.63"/>
    <col customWidth="1" hidden="1" min="12" max="12" width="13.5"/>
    <col customWidth="1" min="13" max="13" width="9.5"/>
    <col customWidth="1" min="14" max="26" width="8.63"/>
  </cols>
  <sheetData>
    <row r="1">
      <c r="B1" s="261" t="s">
        <v>179</v>
      </c>
      <c r="C1" s="262" t="s">
        <v>180</v>
      </c>
      <c r="D1" s="262" t="s">
        <v>181</v>
      </c>
      <c r="E1" s="262" t="s">
        <v>182</v>
      </c>
      <c r="F1" s="262" t="s">
        <v>183</v>
      </c>
      <c r="G1" s="262" t="s">
        <v>184</v>
      </c>
      <c r="H1" s="262" t="s">
        <v>185</v>
      </c>
      <c r="I1" s="262" t="s">
        <v>186</v>
      </c>
      <c r="J1" s="262" t="s">
        <v>187</v>
      </c>
      <c r="K1" s="262" t="s">
        <v>188</v>
      </c>
      <c r="L1" s="262" t="s">
        <v>189</v>
      </c>
      <c r="M1" s="263" t="s">
        <v>190</v>
      </c>
    </row>
    <row r="2">
      <c r="A2" s="264">
        <v>45748.0</v>
      </c>
      <c r="B2" s="265">
        <v>45777.0</v>
      </c>
      <c r="C2" s="266" t="s">
        <v>191</v>
      </c>
      <c r="D2" s="266"/>
      <c r="E2" s="267">
        <v>45777.0</v>
      </c>
      <c r="F2" s="266" t="s">
        <v>192</v>
      </c>
      <c r="G2" s="266" t="s">
        <v>193</v>
      </c>
      <c r="H2" s="266" t="s">
        <v>194</v>
      </c>
      <c r="I2" s="266" t="s">
        <v>195</v>
      </c>
      <c r="J2" s="268">
        <v>1.0</v>
      </c>
      <c r="K2" s="266" t="s">
        <v>196</v>
      </c>
      <c r="L2" s="269">
        <v>1460.0</v>
      </c>
      <c r="M2" s="270">
        <v>1460.0</v>
      </c>
    </row>
    <row r="3">
      <c r="A3" s="264">
        <v>45748.0</v>
      </c>
      <c r="B3" s="271"/>
      <c r="C3" s="272"/>
      <c r="D3" s="272"/>
      <c r="E3" s="272"/>
      <c r="F3" s="272"/>
      <c r="G3" s="272" t="s">
        <v>197</v>
      </c>
      <c r="H3" s="272" t="s">
        <v>198</v>
      </c>
      <c r="I3" s="272" t="s">
        <v>199</v>
      </c>
      <c r="J3" s="273">
        <v>1.0</v>
      </c>
      <c r="K3" s="272" t="s">
        <v>196</v>
      </c>
      <c r="L3" s="274">
        <v>500.0</v>
      </c>
      <c r="M3" s="273">
        <v>500.0</v>
      </c>
    </row>
    <row r="4">
      <c r="A4" s="264">
        <v>45748.0</v>
      </c>
      <c r="B4" s="271">
        <v>45770.0</v>
      </c>
      <c r="C4" s="272" t="s">
        <v>200</v>
      </c>
      <c r="D4" s="272" t="s">
        <v>201</v>
      </c>
      <c r="E4" s="275">
        <v>45770.0</v>
      </c>
      <c r="F4" s="272" t="s">
        <v>202</v>
      </c>
      <c r="G4" s="272" t="s">
        <v>197</v>
      </c>
      <c r="H4" s="272" t="s">
        <v>203</v>
      </c>
      <c r="I4" s="272" t="s">
        <v>204</v>
      </c>
      <c r="J4" s="273">
        <v>0.3</v>
      </c>
      <c r="K4" s="272" t="s">
        <v>205</v>
      </c>
      <c r="L4" s="274">
        <v>900.0</v>
      </c>
      <c r="M4" s="273">
        <v>270.0</v>
      </c>
    </row>
    <row r="5">
      <c r="A5" s="264">
        <v>45748.0</v>
      </c>
      <c r="B5" s="271"/>
      <c r="C5" s="272"/>
      <c r="D5" s="272"/>
      <c r="E5" s="272"/>
      <c r="F5" s="272"/>
      <c r="G5" s="272" t="s">
        <v>197</v>
      </c>
      <c r="H5" s="272" t="s">
        <v>206</v>
      </c>
      <c r="I5" s="272" t="s">
        <v>204</v>
      </c>
      <c r="J5" s="273">
        <v>3.0</v>
      </c>
      <c r="K5" s="272" t="s">
        <v>196</v>
      </c>
      <c r="L5" s="274">
        <v>300.0</v>
      </c>
      <c r="M5" s="273">
        <v>900.0</v>
      </c>
    </row>
    <row r="6">
      <c r="A6" s="264">
        <v>45748.0</v>
      </c>
      <c r="B6" s="271"/>
      <c r="C6" s="272"/>
      <c r="D6" s="272"/>
      <c r="E6" s="272"/>
      <c r="F6" s="272"/>
      <c r="G6" s="272" t="s">
        <v>197</v>
      </c>
      <c r="H6" s="272" t="s">
        <v>207</v>
      </c>
      <c r="I6" s="272" t="s">
        <v>204</v>
      </c>
      <c r="J6" s="273">
        <v>3.0</v>
      </c>
      <c r="K6" s="272" t="s">
        <v>196</v>
      </c>
      <c r="L6" s="274">
        <v>350.0</v>
      </c>
      <c r="M6" s="276">
        <v>1050.0</v>
      </c>
    </row>
    <row r="7">
      <c r="A7" s="264">
        <v>45748.0</v>
      </c>
      <c r="B7" s="271"/>
      <c r="C7" s="272"/>
      <c r="D7" s="272"/>
      <c r="E7" s="272"/>
      <c r="F7" s="272"/>
      <c r="G7" s="272" t="s">
        <v>197</v>
      </c>
      <c r="H7" s="272" t="s">
        <v>208</v>
      </c>
      <c r="I7" s="272" t="s">
        <v>204</v>
      </c>
      <c r="J7" s="273">
        <v>2.0</v>
      </c>
      <c r="K7" s="272" t="s">
        <v>196</v>
      </c>
      <c r="L7" s="274">
        <v>320.0</v>
      </c>
      <c r="M7" s="273">
        <v>640.0</v>
      </c>
    </row>
    <row r="8">
      <c r="A8" s="264">
        <v>45748.0</v>
      </c>
      <c r="B8" s="271"/>
      <c r="C8" s="272"/>
      <c r="D8" s="272"/>
      <c r="E8" s="272"/>
      <c r="F8" s="272"/>
      <c r="G8" s="272" t="s">
        <v>197</v>
      </c>
      <c r="H8" s="272" t="s">
        <v>209</v>
      </c>
      <c r="I8" s="272" t="s">
        <v>210</v>
      </c>
      <c r="J8" s="273">
        <v>3.0</v>
      </c>
      <c r="K8" s="272" t="s">
        <v>196</v>
      </c>
      <c r="L8" s="274">
        <v>400.0</v>
      </c>
      <c r="M8" s="276">
        <v>1200.0</v>
      </c>
    </row>
    <row r="9">
      <c r="A9" s="264">
        <v>45748.0</v>
      </c>
      <c r="B9" s="271"/>
      <c r="C9" s="272"/>
      <c r="D9" s="272"/>
      <c r="E9" s="272"/>
      <c r="F9" s="272"/>
      <c r="G9" s="272" t="s">
        <v>197</v>
      </c>
      <c r="H9" s="272" t="s">
        <v>198</v>
      </c>
      <c r="I9" s="272" t="s">
        <v>199</v>
      </c>
      <c r="J9" s="273">
        <v>1.0</v>
      </c>
      <c r="K9" s="272" t="s">
        <v>196</v>
      </c>
      <c r="L9" s="274">
        <v>350.0</v>
      </c>
      <c r="M9" s="273">
        <v>350.0</v>
      </c>
    </row>
    <row r="10">
      <c r="A10" s="264">
        <v>45748.0</v>
      </c>
      <c r="B10" s="277">
        <v>45769.0</v>
      </c>
      <c r="C10" s="278" t="s">
        <v>211</v>
      </c>
      <c r="D10" s="278" t="s">
        <v>212</v>
      </c>
      <c r="E10" s="279">
        <v>45769.0</v>
      </c>
      <c r="F10" s="278" t="s">
        <v>213</v>
      </c>
      <c r="G10" s="278" t="s">
        <v>214</v>
      </c>
      <c r="H10" s="278" t="s">
        <v>215</v>
      </c>
      <c r="I10" s="278" t="s">
        <v>216</v>
      </c>
      <c r="J10" s="280">
        <v>1.0</v>
      </c>
      <c r="K10" s="278" t="s">
        <v>196</v>
      </c>
      <c r="L10" s="269">
        <v>2425.0</v>
      </c>
      <c r="M10" s="281">
        <v>2425.0</v>
      </c>
    </row>
    <row r="11">
      <c r="A11" s="264">
        <v>45748.0</v>
      </c>
      <c r="B11" s="277"/>
      <c r="C11" s="278"/>
      <c r="D11" s="278"/>
      <c r="E11" s="278"/>
      <c r="F11" s="278"/>
      <c r="G11" s="278" t="s">
        <v>214</v>
      </c>
      <c r="H11" s="278" t="s">
        <v>215</v>
      </c>
      <c r="I11" s="278" t="s">
        <v>216</v>
      </c>
      <c r="J11" s="280">
        <v>1.0</v>
      </c>
      <c r="K11" s="278" t="s">
        <v>196</v>
      </c>
      <c r="L11" s="269">
        <v>2461.0</v>
      </c>
      <c r="M11" s="281">
        <v>2461.0</v>
      </c>
    </row>
    <row r="12">
      <c r="A12" s="264">
        <v>45748.0</v>
      </c>
      <c r="B12" s="271"/>
      <c r="C12" s="272"/>
      <c r="D12" s="272"/>
      <c r="E12" s="272"/>
      <c r="F12" s="272"/>
      <c r="G12" s="272" t="s">
        <v>197</v>
      </c>
      <c r="H12" s="272" t="s">
        <v>198</v>
      </c>
      <c r="I12" s="272" t="s">
        <v>199</v>
      </c>
      <c r="J12" s="273">
        <v>1.0</v>
      </c>
      <c r="K12" s="272" t="s">
        <v>196</v>
      </c>
      <c r="L12" s="274">
        <v>200.0</v>
      </c>
      <c r="M12" s="273">
        <v>200.0</v>
      </c>
    </row>
    <row r="13">
      <c r="A13" s="264">
        <v>45748.0</v>
      </c>
      <c r="B13" s="271">
        <v>45769.0</v>
      </c>
      <c r="C13" s="272" t="s">
        <v>217</v>
      </c>
      <c r="D13" s="272"/>
      <c r="E13" s="275">
        <v>45769.0</v>
      </c>
      <c r="F13" s="272" t="s">
        <v>218</v>
      </c>
      <c r="G13" s="272" t="s">
        <v>197</v>
      </c>
      <c r="H13" s="282" t="s">
        <v>219</v>
      </c>
      <c r="I13" s="272" t="s">
        <v>204</v>
      </c>
      <c r="J13" s="273">
        <v>1.0</v>
      </c>
      <c r="K13" s="272" t="s">
        <v>196</v>
      </c>
      <c r="L13" s="269">
        <v>4500.0</v>
      </c>
      <c r="M13" s="276">
        <v>4500.0</v>
      </c>
    </row>
    <row r="14">
      <c r="A14" s="264">
        <v>45748.0</v>
      </c>
      <c r="B14" s="271"/>
      <c r="C14" s="272"/>
      <c r="D14" s="272"/>
      <c r="E14" s="272"/>
      <c r="F14" s="272"/>
      <c r="G14" s="272" t="s">
        <v>197</v>
      </c>
      <c r="H14" s="272" t="s">
        <v>198</v>
      </c>
      <c r="I14" s="272" t="s">
        <v>199</v>
      </c>
      <c r="J14" s="273">
        <v>1.0</v>
      </c>
      <c r="K14" s="272" t="s">
        <v>196</v>
      </c>
      <c r="L14" s="274">
        <v>350.0</v>
      </c>
      <c r="M14" s="273">
        <v>350.0</v>
      </c>
    </row>
    <row r="15">
      <c r="A15" s="264">
        <v>45748.0</v>
      </c>
      <c r="B15" s="271">
        <v>45769.0</v>
      </c>
      <c r="C15" s="272" t="s">
        <v>220</v>
      </c>
      <c r="D15" s="272" t="s">
        <v>221</v>
      </c>
      <c r="E15" s="275">
        <v>45769.0</v>
      </c>
      <c r="F15" s="272" t="s">
        <v>222</v>
      </c>
      <c r="G15" s="272" t="s">
        <v>197</v>
      </c>
      <c r="H15" s="282" t="s">
        <v>219</v>
      </c>
      <c r="I15" s="272" t="s">
        <v>204</v>
      </c>
      <c r="J15" s="273">
        <v>1.0</v>
      </c>
      <c r="K15" s="272" t="s">
        <v>196</v>
      </c>
      <c r="L15" s="269">
        <v>4800.0</v>
      </c>
      <c r="M15" s="276">
        <v>4800.0</v>
      </c>
    </row>
    <row r="16">
      <c r="A16" s="264">
        <v>45748.0</v>
      </c>
      <c r="B16" s="271"/>
      <c r="C16" s="272"/>
      <c r="D16" s="272"/>
      <c r="E16" s="272"/>
      <c r="F16" s="272"/>
      <c r="G16" s="272" t="s">
        <v>197</v>
      </c>
      <c r="H16" s="272" t="s">
        <v>223</v>
      </c>
      <c r="I16" s="272" t="s">
        <v>204</v>
      </c>
      <c r="J16" s="273">
        <v>1.0</v>
      </c>
      <c r="K16" s="272" t="s">
        <v>196</v>
      </c>
      <c r="L16" s="274">
        <v>740.0</v>
      </c>
      <c r="M16" s="273">
        <v>740.0</v>
      </c>
    </row>
    <row r="17">
      <c r="A17" s="264">
        <v>45748.0</v>
      </c>
      <c r="B17" s="271"/>
      <c r="C17" s="272"/>
      <c r="D17" s="272"/>
      <c r="E17" s="272"/>
      <c r="F17" s="272"/>
      <c r="G17" s="272" t="s">
        <v>197</v>
      </c>
      <c r="H17" s="272" t="s">
        <v>224</v>
      </c>
      <c r="I17" s="272" t="s">
        <v>204</v>
      </c>
      <c r="J17" s="273">
        <v>1.0</v>
      </c>
      <c r="K17" s="272" t="s">
        <v>196</v>
      </c>
      <c r="L17" s="274">
        <v>450.0</v>
      </c>
      <c r="M17" s="273">
        <v>450.0</v>
      </c>
    </row>
    <row r="18">
      <c r="A18" s="264">
        <v>45748.0</v>
      </c>
      <c r="B18" s="271"/>
      <c r="C18" s="272"/>
      <c r="D18" s="272"/>
      <c r="E18" s="272"/>
      <c r="F18" s="272"/>
      <c r="G18" s="272" t="s">
        <v>197</v>
      </c>
      <c r="H18" s="272" t="s">
        <v>225</v>
      </c>
      <c r="I18" s="272" t="s">
        <v>204</v>
      </c>
      <c r="J18" s="273">
        <v>1.0</v>
      </c>
      <c r="K18" s="272" t="s">
        <v>196</v>
      </c>
      <c r="L18" s="274">
        <v>410.0</v>
      </c>
      <c r="M18" s="273">
        <v>410.0</v>
      </c>
    </row>
    <row r="19">
      <c r="A19" s="264">
        <v>45748.0</v>
      </c>
      <c r="B19" s="271"/>
      <c r="C19" s="272"/>
      <c r="D19" s="272"/>
      <c r="E19" s="272"/>
      <c r="F19" s="272"/>
      <c r="G19" s="272" t="s">
        <v>197</v>
      </c>
      <c r="H19" s="272" t="s">
        <v>226</v>
      </c>
      <c r="I19" s="272" t="s">
        <v>204</v>
      </c>
      <c r="J19" s="273">
        <v>1.0</v>
      </c>
      <c r="K19" s="272" t="s">
        <v>196</v>
      </c>
      <c r="L19" s="274">
        <v>10.0</v>
      </c>
      <c r="M19" s="273">
        <v>10.0</v>
      </c>
    </row>
    <row r="20">
      <c r="A20" s="264">
        <v>45748.0</v>
      </c>
      <c r="B20" s="271"/>
      <c r="C20" s="272"/>
      <c r="D20" s="272"/>
      <c r="E20" s="272"/>
      <c r="F20" s="272"/>
      <c r="G20" s="272" t="s">
        <v>197</v>
      </c>
      <c r="H20" s="272" t="s">
        <v>227</v>
      </c>
      <c r="I20" s="272" t="s">
        <v>210</v>
      </c>
      <c r="J20" s="273">
        <v>1.0</v>
      </c>
      <c r="K20" s="272" t="s">
        <v>196</v>
      </c>
      <c r="L20" s="269">
        <v>2200.0</v>
      </c>
      <c r="M20" s="276">
        <v>2200.0</v>
      </c>
    </row>
    <row r="21">
      <c r="A21" s="264">
        <v>45748.0</v>
      </c>
      <c r="B21" s="271"/>
      <c r="C21" s="272"/>
      <c r="D21" s="272"/>
      <c r="E21" s="272"/>
      <c r="F21" s="272"/>
      <c r="G21" s="272" t="s">
        <v>197</v>
      </c>
      <c r="H21" s="272" t="s">
        <v>228</v>
      </c>
      <c r="I21" s="272" t="s">
        <v>204</v>
      </c>
      <c r="J21" s="273">
        <v>2.0</v>
      </c>
      <c r="K21" s="272" t="s">
        <v>196</v>
      </c>
      <c r="L21" s="274">
        <v>600.0</v>
      </c>
      <c r="M21" s="276">
        <v>1200.0</v>
      </c>
    </row>
    <row r="22">
      <c r="A22" s="264">
        <v>45748.0</v>
      </c>
      <c r="B22" s="271"/>
      <c r="C22" s="272"/>
      <c r="D22" s="272"/>
      <c r="E22" s="272"/>
      <c r="F22" s="272"/>
      <c r="G22" s="272" t="s">
        <v>197</v>
      </c>
      <c r="H22" s="272" t="s">
        <v>229</v>
      </c>
      <c r="I22" s="272" t="s">
        <v>204</v>
      </c>
      <c r="J22" s="273">
        <v>1.0</v>
      </c>
      <c r="K22" s="272" t="s">
        <v>196</v>
      </c>
      <c r="L22" s="274">
        <v>500.0</v>
      </c>
      <c r="M22" s="273">
        <v>500.0</v>
      </c>
    </row>
    <row r="23">
      <c r="A23" s="264">
        <v>45748.0</v>
      </c>
      <c r="B23" s="271"/>
      <c r="C23" s="272"/>
      <c r="D23" s="272"/>
      <c r="E23" s="272"/>
      <c r="F23" s="272"/>
      <c r="G23" s="272" t="s">
        <v>197</v>
      </c>
      <c r="H23" s="272" t="s">
        <v>203</v>
      </c>
      <c r="I23" s="272" t="s">
        <v>204</v>
      </c>
      <c r="J23" s="273">
        <v>70.0</v>
      </c>
      <c r="K23" s="272" t="s">
        <v>230</v>
      </c>
      <c r="L23" s="274">
        <v>9.0</v>
      </c>
      <c r="M23" s="273">
        <v>630.0</v>
      </c>
    </row>
    <row r="24">
      <c r="A24" s="264">
        <v>45748.0</v>
      </c>
      <c r="B24" s="271"/>
      <c r="C24" s="272"/>
      <c r="D24" s="272"/>
      <c r="E24" s="272"/>
      <c r="F24" s="272"/>
      <c r="G24" s="272" t="s">
        <v>197</v>
      </c>
      <c r="H24" s="272" t="s">
        <v>198</v>
      </c>
      <c r="I24" s="272" t="s">
        <v>199</v>
      </c>
      <c r="J24" s="273">
        <v>1.0</v>
      </c>
      <c r="K24" s="272" t="s">
        <v>196</v>
      </c>
      <c r="L24" s="274">
        <v>300.0</v>
      </c>
      <c r="M24" s="273">
        <v>300.0</v>
      </c>
    </row>
    <row r="25">
      <c r="A25" s="264">
        <v>45748.0</v>
      </c>
      <c r="B25" s="271"/>
      <c r="C25" s="272"/>
      <c r="D25" s="272"/>
      <c r="E25" s="272"/>
      <c r="F25" s="272"/>
      <c r="G25" s="272" t="s">
        <v>197</v>
      </c>
      <c r="H25" s="272" t="s">
        <v>231</v>
      </c>
      <c r="I25" s="272" t="s">
        <v>210</v>
      </c>
      <c r="J25" s="273">
        <v>1.0</v>
      </c>
      <c r="K25" s="272" t="s">
        <v>232</v>
      </c>
      <c r="L25" s="269">
        <v>4000.0</v>
      </c>
      <c r="M25" s="276">
        <v>4000.0</v>
      </c>
    </row>
    <row r="26">
      <c r="A26" s="264">
        <v>45748.0</v>
      </c>
      <c r="B26" s="277">
        <v>45768.0</v>
      </c>
      <c r="C26" s="278" t="s">
        <v>233</v>
      </c>
      <c r="D26" s="278" t="s">
        <v>234</v>
      </c>
      <c r="E26" s="279">
        <v>45768.0</v>
      </c>
      <c r="F26" s="278" t="s">
        <v>235</v>
      </c>
      <c r="G26" s="278" t="s">
        <v>214</v>
      </c>
      <c r="H26" s="278" t="s">
        <v>215</v>
      </c>
      <c r="I26" s="278" t="s">
        <v>216</v>
      </c>
      <c r="J26" s="280">
        <v>1.0</v>
      </c>
      <c r="K26" s="278" t="s">
        <v>196</v>
      </c>
      <c r="L26" s="269">
        <v>2872.8</v>
      </c>
      <c r="M26" s="281">
        <v>2872.8</v>
      </c>
    </row>
    <row r="27">
      <c r="A27" s="264">
        <v>45748.0</v>
      </c>
      <c r="B27" s="265">
        <v>45765.0</v>
      </c>
      <c r="C27" s="266" t="s">
        <v>236</v>
      </c>
      <c r="D27" s="266" t="s">
        <v>237</v>
      </c>
      <c r="E27" s="267">
        <v>45765.0</v>
      </c>
      <c r="F27" s="266" t="s">
        <v>238</v>
      </c>
      <c r="G27" s="266" t="s">
        <v>193</v>
      </c>
      <c r="H27" s="266" t="s">
        <v>194</v>
      </c>
      <c r="I27" s="266" t="s">
        <v>195</v>
      </c>
      <c r="J27" s="268">
        <v>2.0</v>
      </c>
      <c r="K27" s="266" t="s">
        <v>196</v>
      </c>
      <c r="L27" s="269">
        <v>1460.0</v>
      </c>
      <c r="M27" s="270">
        <v>2920.0</v>
      </c>
    </row>
    <row r="28">
      <c r="A28" s="264">
        <v>45748.0</v>
      </c>
      <c r="B28" s="271"/>
      <c r="C28" s="272"/>
      <c r="D28" s="272"/>
      <c r="E28" s="272"/>
      <c r="F28" s="272"/>
      <c r="G28" s="272" t="s">
        <v>197</v>
      </c>
      <c r="H28" s="272" t="s">
        <v>198</v>
      </c>
      <c r="I28" s="272" t="s">
        <v>199</v>
      </c>
      <c r="J28" s="273">
        <v>1.0</v>
      </c>
      <c r="K28" s="272" t="s">
        <v>196</v>
      </c>
      <c r="L28" s="274">
        <v>500.0</v>
      </c>
      <c r="M28" s="273">
        <v>500.0</v>
      </c>
    </row>
    <row r="29">
      <c r="A29" s="264">
        <v>45748.0</v>
      </c>
      <c r="B29" s="283">
        <v>45765.0</v>
      </c>
      <c r="C29" s="284" t="s">
        <v>239</v>
      </c>
      <c r="D29" s="284" t="s">
        <v>240</v>
      </c>
      <c r="E29" s="285">
        <v>45765.0</v>
      </c>
      <c r="F29" s="284" t="s">
        <v>241</v>
      </c>
      <c r="G29" s="284" t="s">
        <v>242</v>
      </c>
      <c r="H29" s="284" t="s">
        <v>243</v>
      </c>
      <c r="I29" s="284" t="s">
        <v>244</v>
      </c>
      <c r="J29" s="286">
        <v>1.0</v>
      </c>
      <c r="K29" s="284" t="s">
        <v>196</v>
      </c>
      <c r="L29" s="269">
        <v>127590.0</v>
      </c>
      <c r="M29" s="287">
        <v>127590.0</v>
      </c>
    </row>
    <row r="30">
      <c r="A30" s="264">
        <v>45748.0</v>
      </c>
      <c r="B30" s="283"/>
      <c r="C30" s="284"/>
      <c r="D30" s="284"/>
      <c r="E30" s="284"/>
      <c r="F30" s="284"/>
      <c r="G30" s="284" t="s">
        <v>242</v>
      </c>
      <c r="H30" s="284" t="s">
        <v>198</v>
      </c>
      <c r="I30" s="284" t="s">
        <v>199</v>
      </c>
      <c r="J30" s="286">
        <v>1.0</v>
      </c>
      <c r="K30" s="284" t="s">
        <v>196</v>
      </c>
      <c r="L30" s="269">
        <v>8000.0</v>
      </c>
      <c r="M30" s="287">
        <v>8000.0</v>
      </c>
    </row>
    <row r="31">
      <c r="A31" s="264">
        <v>45748.0</v>
      </c>
      <c r="B31" s="271"/>
      <c r="C31" s="272"/>
      <c r="D31" s="272"/>
      <c r="E31" s="272"/>
      <c r="F31" s="272"/>
      <c r="G31" s="272" t="s">
        <v>197</v>
      </c>
      <c r="H31" s="272"/>
      <c r="I31" s="272"/>
      <c r="J31" s="273">
        <v>0.0</v>
      </c>
      <c r="K31" s="272"/>
      <c r="L31" s="274">
        <v>0.0</v>
      </c>
      <c r="M31" s="273">
        <v>0.0</v>
      </c>
    </row>
    <row r="32">
      <c r="A32" s="264">
        <v>45748.0</v>
      </c>
      <c r="B32" s="265">
        <v>45762.0</v>
      </c>
      <c r="C32" s="266" t="s">
        <v>245</v>
      </c>
      <c r="D32" s="266" t="s">
        <v>246</v>
      </c>
      <c r="E32" s="267">
        <v>45762.0</v>
      </c>
      <c r="F32" s="266" t="s">
        <v>247</v>
      </c>
      <c r="G32" s="266" t="s">
        <v>193</v>
      </c>
      <c r="H32" s="266" t="s">
        <v>248</v>
      </c>
      <c r="I32" s="266" t="s">
        <v>249</v>
      </c>
      <c r="J32" s="268">
        <v>3.0</v>
      </c>
      <c r="K32" s="266" t="s">
        <v>196</v>
      </c>
      <c r="L32" s="269">
        <v>1400.0</v>
      </c>
      <c r="M32" s="270">
        <v>4200.0</v>
      </c>
    </row>
    <row r="33">
      <c r="A33" s="264">
        <v>45748.0</v>
      </c>
      <c r="B33" s="271">
        <v>45757.0</v>
      </c>
      <c r="C33" s="272" t="s">
        <v>250</v>
      </c>
      <c r="D33" s="272" t="s">
        <v>251</v>
      </c>
      <c r="E33" s="275">
        <v>45757.0</v>
      </c>
      <c r="F33" s="272" t="s">
        <v>252</v>
      </c>
      <c r="G33" s="272" t="s">
        <v>197</v>
      </c>
      <c r="H33" s="272" t="s">
        <v>253</v>
      </c>
      <c r="I33" s="272" t="s">
        <v>204</v>
      </c>
      <c r="J33" s="273">
        <v>1.0</v>
      </c>
      <c r="K33" s="272" t="s">
        <v>196</v>
      </c>
      <c r="L33" s="269">
        <v>2500.0</v>
      </c>
      <c r="M33" s="276">
        <v>2500.0</v>
      </c>
    </row>
    <row r="34">
      <c r="A34" s="264">
        <v>45748.0</v>
      </c>
      <c r="B34" s="271"/>
      <c r="C34" s="272"/>
      <c r="D34" s="272"/>
      <c r="E34" s="272"/>
      <c r="F34" s="272"/>
      <c r="G34" s="272" t="s">
        <v>197</v>
      </c>
      <c r="H34" s="272" t="s">
        <v>198</v>
      </c>
      <c r="I34" s="272" t="s">
        <v>199</v>
      </c>
      <c r="J34" s="273">
        <v>1.0</v>
      </c>
      <c r="K34" s="272" t="s">
        <v>196</v>
      </c>
      <c r="L34" s="274">
        <v>350.0</v>
      </c>
      <c r="M34" s="273">
        <v>350.0</v>
      </c>
    </row>
    <row r="35">
      <c r="A35" s="264">
        <v>45748.0</v>
      </c>
      <c r="B35" s="271">
        <v>45757.0</v>
      </c>
      <c r="C35" s="282" t="s">
        <v>254</v>
      </c>
      <c r="D35" s="272"/>
      <c r="E35" s="275">
        <v>45757.0</v>
      </c>
      <c r="F35" s="272" t="s">
        <v>255</v>
      </c>
      <c r="G35" s="272" t="s">
        <v>197</v>
      </c>
      <c r="H35" s="272" t="s">
        <v>256</v>
      </c>
      <c r="I35" s="272" t="s">
        <v>204</v>
      </c>
      <c r="J35" s="273">
        <v>1.0</v>
      </c>
      <c r="K35" s="272" t="s">
        <v>196</v>
      </c>
      <c r="L35" s="269">
        <v>1200.0</v>
      </c>
      <c r="M35" s="273">
        <v>0.0</v>
      </c>
    </row>
    <row r="36">
      <c r="A36" s="264">
        <v>45748.0</v>
      </c>
      <c r="B36" s="271"/>
      <c r="C36" s="272"/>
      <c r="D36" s="272"/>
      <c r="E36" s="272"/>
      <c r="F36" s="272"/>
      <c r="G36" s="272" t="s">
        <v>197</v>
      </c>
      <c r="H36" s="272"/>
      <c r="I36" s="272"/>
      <c r="J36" s="273">
        <v>1.0</v>
      </c>
      <c r="K36" s="272"/>
      <c r="L36" s="274">
        <v>0.0</v>
      </c>
      <c r="M36" s="273">
        <v>0.0</v>
      </c>
    </row>
    <row r="37">
      <c r="A37" s="264">
        <v>45748.0</v>
      </c>
      <c r="B37" s="271">
        <v>45757.0</v>
      </c>
      <c r="C37" s="272" t="s">
        <v>257</v>
      </c>
      <c r="D37" s="272"/>
      <c r="E37" s="275">
        <v>45757.0</v>
      </c>
      <c r="F37" s="272" t="s">
        <v>258</v>
      </c>
      <c r="G37" s="288" t="s">
        <v>197</v>
      </c>
      <c r="H37" s="272" t="s">
        <v>259</v>
      </c>
      <c r="I37" s="272" t="s">
        <v>210</v>
      </c>
      <c r="J37" s="273">
        <v>1.0</v>
      </c>
      <c r="K37" s="272" t="s">
        <v>196</v>
      </c>
      <c r="L37" s="274">
        <v>0.0</v>
      </c>
      <c r="M37" s="273">
        <v>0.0</v>
      </c>
    </row>
    <row r="38">
      <c r="A38" s="264">
        <v>45748.0</v>
      </c>
      <c r="B38" s="271">
        <v>45756.0</v>
      </c>
      <c r="C38" s="272" t="s">
        <v>260</v>
      </c>
      <c r="D38" s="272" t="s">
        <v>261</v>
      </c>
      <c r="E38" s="275">
        <v>45756.0</v>
      </c>
      <c r="F38" s="272" t="s">
        <v>262</v>
      </c>
      <c r="G38" s="272" t="s">
        <v>197</v>
      </c>
      <c r="H38" s="272" t="s">
        <v>209</v>
      </c>
      <c r="I38" s="272" t="s">
        <v>210</v>
      </c>
      <c r="J38" s="273">
        <v>1.0</v>
      </c>
      <c r="K38" s="272" t="s">
        <v>196</v>
      </c>
      <c r="L38" s="274">
        <v>400.0</v>
      </c>
      <c r="M38" s="273">
        <v>400.0</v>
      </c>
    </row>
    <row r="39">
      <c r="A39" s="264">
        <v>45748.0</v>
      </c>
      <c r="B39" s="283">
        <v>45756.0</v>
      </c>
      <c r="C39" s="284" t="s">
        <v>263</v>
      </c>
      <c r="D39" s="284" t="s">
        <v>264</v>
      </c>
      <c r="E39" s="285">
        <v>45756.0</v>
      </c>
      <c r="F39" s="284" t="s">
        <v>265</v>
      </c>
      <c r="G39" s="284" t="s">
        <v>242</v>
      </c>
      <c r="H39" s="284" t="s">
        <v>266</v>
      </c>
      <c r="I39" s="284" t="s">
        <v>204</v>
      </c>
      <c r="J39" s="286">
        <v>1.0</v>
      </c>
      <c r="K39" s="284" t="s">
        <v>196</v>
      </c>
      <c r="L39" s="269">
        <v>55000.0</v>
      </c>
      <c r="M39" s="287">
        <v>35002.0</v>
      </c>
    </row>
    <row r="40">
      <c r="A40" s="264">
        <v>45748.0</v>
      </c>
      <c r="B40" s="271"/>
      <c r="C40" s="272"/>
      <c r="D40" s="272"/>
      <c r="E40" s="272"/>
      <c r="F40" s="272"/>
      <c r="G40" s="272" t="s">
        <v>197</v>
      </c>
      <c r="H40" s="272"/>
      <c r="I40" s="272"/>
      <c r="J40" s="273">
        <v>0.0</v>
      </c>
      <c r="K40" s="272"/>
      <c r="L40" s="274">
        <v>0.0</v>
      </c>
      <c r="M40" s="273">
        <v>0.0</v>
      </c>
    </row>
    <row r="41">
      <c r="A41" s="264">
        <v>45748.0</v>
      </c>
      <c r="B41" s="271"/>
      <c r="C41" s="272"/>
      <c r="D41" s="272"/>
      <c r="E41" s="272"/>
      <c r="F41" s="272"/>
      <c r="G41" s="272" t="s">
        <v>197</v>
      </c>
      <c r="H41" s="272" t="s">
        <v>198</v>
      </c>
      <c r="I41" s="272" t="s">
        <v>199</v>
      </c>
      <c r="J41" s="273">
        <v>1.0</v>
      </c>
      <c r="K41" s="272" t="s">
        <v>196</v>
      </c>
      <c r="L41" s="269">
        <v>2500.0</v>
      </c>
      <c r="M41" s="273">
        <v>0.0</v>
      </c>
    </row>
    <row r="42">
      <c r="A42" s="264">
        <v>45748.0</v>
      </c>
      <c r="B42" s="271">
        <v>45756.0</v>
      </c>
      <c r="C42" s="272" t="s">
        <v>267</v>
      </c>
      <c r="D42" s="272"/>
      <c r="E42" s="275">
        <v>45756.0</v>
      </c>
      <c r="F42" s="272" t="s">
        <v>268</v>
      </c>
      <c r="G42" s="272" t="s">
        <v>197</v>
      </c>
      <c r="H42" s="272" t="s">
        <v>269</v>
      </c>
      <c r="I42" s="272" t="s">
        <v>204</v>
      </c>
      <c r="J42" s="273">
        <v>1.0</v>
      </c>
      <c r="K42" s="272" t="s">
        <v>196</v>
      </c>
      <c r="L42" s="274">
        <v>466.1</v>
      </c>
      <c r="M42" s="273">
        <v>466.1</v>
      </c>
    </row>
    <row r="43">
      <c r="A43" s="264">
        <v>45748.0</v>
      </c>
      <c r="B43" s="289">
        <v>45755.0</v>
      </c>
      <c r="C43" s="290" t="s">
        <v>270</v>
      </c>
      <c r="D43" s="290" t="s">
        <v>271</v>
      </c>
      <c r="E43" s="291">
        <v>45755.0</v>
      </c>
      <c r="F43" s="290" t="s">
        <v>272</v>
      </c>
      <c r="G43" s="290" t="s">
        <v>273</v>
      </c>
      <c r="H43" s="290" t="s">
        <v>274</v>
      </c>
      <c r="I43" s="290" t="s">
        <v>275</v>
      </c>
      <c r="J43" s="292">
        <v>1.0</v>
      </c>
      <c r="K43" s="290" t="s">
        <v>196</v>
      </c>
      <c r="L43" s="269">
        <v>28900.0</v>
      </c>
      <c r="M43" s="293">
        <v>28322.0</v>
      </c>
    </row>
    <row r="44">
      <c r="A44" s="264">
        <v>45748.0</v>
      </c>
      <c r="B44" s="271"/>
      <c r="C44" s="272"/>
      <c r="D44" s="272"/>
      <c r="E44" s="272"/>
      <c r="F44" s="272"/>
      <c r="G44" s="272" t="s">
        <v>197</v>
      </c>
      <c r="H44" s="272"/>
      <c r="I44" s="272"/>
      <c r="J44" s="273">
        <v>0.0</v>
      </c>
      <c r="K44" s="272"/>
      <c r="L44" s="274">
        <v>0.0</v>
      </c>
      <c r="M44" s="273">
        <v>0.0</v>
      </c>
    </row>
    <row r="45">
      <c r="A45" s="264">
        <v>45748.0</v>
      </c>
      <c r="B45" s="277">
        <v>45755.0</v>
      </c>
      <c r="C45" s="278" t="s">
        <v>276</v>
      </c>
      <c r="D45" s="278" t="s">
        <v>277</v>
      </c>
      <c r="E45" s="279">
        <v>45755.0</v>
      </c>
      <c r="F45" s="278" t="s">
        <v>278</v>
      </c>
      <c r="G45" s="278" t="s">
        <v>214</v>
      </c>
      <c r="H45" s="278" t="s">
        <v>215</v>
      </c>
      <c r="I45" s="278" t="s">
        <v>216</v>
      </c>
      <c r="J45" s="280">
        <v>21.0</v>
      </c>
      <c r="K45" s="278" t="s">
        <v>196</v>
      </c>
      <c r="L45" s="274">
        <v>465.69</v>
      </c>
      <c r="M45" s="281">
        <v>9779.49</v>
      </c>
    </row>
    <row r="46">
      <c r="A46" s="264">
        <v>45748.0</v>
      </c>
      <c r="B46" s="277"/>
      <c r="C46" s="278"/>
      <c r="D46" s="278"/>
      <c r="E46" s="278"/>
      <c r="F46" s="278"/>
      <c r="G46" s="278" t="s">
        <v>214</v>
      </c>
      <c r="H46" s="278" t="s">
        <v>215</v>
      </c>
      <c r="I46" s="278" t="s">
        <v>216</v>
      </c>
      <c r="J46" s="280">
        <v>21.0</v>
      </c>
      <c r="K46" s="278" t="s">
        <v>196</v>
      </c>
      <c r="L46" s="274">
        <v>95.23</v>
      </c>
      <c r="M46" s="281">
        <v>1999.83</v>
      </c>
    </row>
    <row r="47">
      <c r="A47" s="264">
        <v>45748.0</v>
      </c>
      <c r="B47" s="277"/>
      <c r="C47" s="278"/>
      <c r="D47" s="278"/>
      <c r="E47" s="278"/>
      <c r="F47" s="278"/>
      <c r="G47" s="278" t="s">
        <v>214</v>
      </c>
      <c r="H47" s="278" t="s">
        <v>215</v>
      </c>
      <c r="I47" s="278" t="s">
        <v>216</v>
      </c>
      <c r="J47" s="280">
        <v>21.0</v>
      </c>
      <c r="K47" s="278" t="s">
        <v>196</v>
      </c>
      <c r="L47" s="274">
        <v>50.0</v>
      </c>
      <c r="M47" s="281">
        <v>1050.0</v>
      </c>
    </row>
    <row r="48">
      <c r="A48" s="264">
        <v>45748.0</v>
      </c>
      <c r="B48" s="277"/>
      <c r="C48" s="278"/>
      <c r="D48" s="278"/>
      <c r="E48" s="278"/>
      <c r="F48" s="278"/>
      <c r="G48" s="278" t="s">
        <v>214</v>
      </c>
      <c r="H48" s="278" t="s">
        <v>215</v>
      </c>
      <c r="I48" s="278" t="s">
        <v>216</v>
      </c>
      <c r="J48" s="280">
        <v>21.0</v>
      </c>
      <c r="K48" s="278" t="s">
        <v>196</v>
      </c>
      <c r="L48" s="274">
        <v>800.0</v>
      </c>
      <c r="M48" s="281">
        <v>16800.0</v>
      </c>
    </row>
    <row r="49">
      <c r="A49" s="264">
        <v>45748.0</v>
      </c>
      <c r="B49" s="271"/>
      <c r="C49" s="272"/>
      <c r="D49" s="272"/>
      <c r="E49" s="272"/>
      <c r="F49" s="272"/>
      <c r="G49" s="272" t="s">
        <v>197</v>
      </c>
      <c r="H49" s="272" t="s">
        <v>198</v>
      </c>
      <c r="I49" s="272" t="s">
        <v>199</v>
      </c>
      <c r="J49" s="273">
        <v>1.0</v>
      </c>
      <c r="K49" s="272" t="s">
        <v>196</v>
      </c>
      <c r="L49" s="274">
        <v>250.0</v>
      </c>
      <c r="M49" s="273">
        <v>250.0</v>
      </c>
    </row>
    <row r="50">
      <c r="A50" s="264">
        <v>45748.0</v>
      </c>
      <c r="B50" s="283">
        <v>45752.0</v>
      </c>
      <c r="C50" s="284" t="s">
        <v>279</v>
      </c>
      <c r="D50" s="284" t="s">
        <v>280</v>
      </c>
      <c r="E50" s="285">
        <v>45752.0</v>
      </c>
      <c r="F50" s="284" t="s">
        <v>281</v>
      </c>
      <c r="G50" s="284" t="s">
        <v>242</v>
      </c>
      <c r="H50" s="284" t="s">
        <v>282</v>
      </c>
      <c r="I50" s="284" t="s">
        <v>244</v>
      </c>
      <c r="J50" s="286">
        <v>1.0</v>
      </c>
      <c r="K50" s="284" t="s">
        <v>196</v>
      </c>
      <c r="L50" s="269">
        <v>145000.0</v>
      </c>
      <c r="M50" s="287">
        <v>137750.0</v>
      </c>
    </row>
    <row r="51">
      <c r="A51" s="264">
        <v>45748.0</v>
      </c>
      <c r="B51" s="271"/>
      <c r="C51" s="272"/>
      <c r="D51" s="272"/>
      <c r="E51" s="272"/>
      <c r="F51" s="272"/>
      <c r="G51" s="272" t="s">
        <v>197</v>
      </c>
      <c r="H51" s="272"/>
      <c r="I51" s="272"/>
      <c r="J51" s="273">
        <v>0.0</v>
      </c>
      <c r="K51" s="272"/>
      <c r="L51" s="274">
        <v>0.0</v>
      </c>
      <c r="M51" s="273">
        <v>0.0</v>
      </c>
    </row>
    <row r="52">
      <c r="A52" s="264">
        <v>45748.0</v>
      </c>
      <c r="B52" s="265"/>
      <c r="C52" s="266"/>
      <c r="D52" s="266"/>
      <c r="E52" s="266"/>
      <c r="F52" s="266"/>
      <c r="G52" s="266" t="s">
        <v>193</v>
      </c>
      <c r="H52" s="266" t="s">
        <v>194</v>
      </c>
      <c r="I52" s="266" t="s">
        <v>195</v>
      </c>
      <c r="J52" s="268">
        <v>1.0</v>
      </c>
      <c r="K52" s="266" t="s">
        <v>196</v>
      </c>
      <c r="L52" s="269">
        <v>1500.0</v>
      </c>
      <c r="M52" s="268">
        <v>0.0</v>
      </c>
    </row>
    <row r="53">
      <c r="A53" s="264">
        <v>45748.0</v>
      </c>
      <c r="B53" s="283"/>
      <c r="C53" s="284"/>
      <c r="D53" s="284"/>
      <c r="E53" s="284"/>
      <c r="F53" s="284"/>
      <c r="G53" s="284" t="s">
        <v>242</v>
      </c>
      <c r="H53" s="284" t="s">
        <v>283</v>
      </c>
      <c r="I53" s="284" t="s">
        <v>284</v>
      </c>
      <c r="J53" s="286">
        <v>1.0</v>
      </c>
      <c r="K53" s="284" t="s">
        <v>196</v>
      </c>
      <c r="L53" s="269">
        <v>20000.0</v>
      </c>
      <c r="M53" s="287">
        <v>20000.0</v>
      </c>
    </row>
    <row r="54">
      <c r="A54" s="264">
        <v>45748.0</v>
      </c>
      <c r="B54" s="283"/>
      <c r="C54" s="284"/>
      <c r="D54" s="284"/>
      <c r="E54" s="284"/>
      <c r="F54" s="284"/>
      <c r="G54" s="284" t="s">
        <v>242</v>
      </c>
      <c r="H54" s="284" t="s">
        <v>198</v>
      </c>
      <c r="I54" s="284" t="s">
        <v>199</v>
      </c>
      <c r="J54" s="286">
        <v>1.0</v>
      </c>
      <c r="K54" s="284" t="s">
        <v>196</v>
      </c>
      <c r="L54" s="269">
        <v>3000.0</v>
      </c>
      <c r="M54" s="287">
        <v>3000.0</v>
      </c>
    </row>
    <row r="55">
      <c r="A55" s="264">
        <v>45748.0</v>
      </c>
      <c r="B55" s="271"/>
      <c r="C55" s="272"/>
      <c r="D55" s="272"/>
      <c r="E55" s="272"/>
      <c r="F55" s="272"/>
      <c r="G55" s="272" t="s">
        <v>197</v>
      </c>
      <c r="H55" s="272"/>
      <c r="I55" s="272"/>
      <c r="J55" s="273">
        <v>0.0</v>
      </c>
      <c r="K55" s="272"/>
      <c r="L55" s="274">
        <v>0.0</v>
      </c>
      <c r="M55" s="273">
        <v>0.0</v>
      </c>
    </row>
    <row r="56">
      <c r="A56" s="264">
        <v>45748.0</v>
      </c>
      <c r="B56" s="277">
        <v>45751.0</v>
      </c>
      <c r="C56" s="278" t="s">
        <v>285</v>
      </c>
      <c r="D56" s="278" t="s">
        <v>286</v>
      </c>
      <c r="E56" s="279">
        <v>45751.0</v>
      </c>
      <c r="F56" s="278" t="s">
        <v>287</v>
      </c>
      <c r="G56" s="278" t="s">
        <v>214</v>
      </c>
      <c r="H56" s="278" t="s">
        <v>215</v>
      </c>
      <c r="I56" s="278" t="s">
        <v>216</v>
      </c>
      <c r="J56" s="280">
        <v>3.0</v>
      </c>
      <c r="K56" s="278" t="s">
        <v>196</v>
      </c>
      <c r="L56" s="274">
        <v>907.72</v>
      </c>
      <c r="M56" s="281">
        <v>2723.16</v>
      </c>
    </row>
    <row r="57">
      <c r="A57" s="264">
        <v>45748.0</v>
      </c>
      <c r="B57" s="271"/>
      <c r="C57" s="272"/>
      <c r="D57" s="272"/>
      <c r="E57" s="272"/>
      <c r="F57" s="272"/>
      <c r="G57" s="272" t="s">
        <v>197</v>
      </c>
      <c r="H57" s="272" t="s">
        <v>198</v>
      </c>
      <c r="I57" s="272" t="s">
        <v>199</v>
      </c>
      <c r="J57" s="273">
        <v>1.0</v>
      </c>
      <c r="K57" s="272" t="s">
        <v>196</v>
      </c>
      <c r="L57" s="274">
        <v>400.0</v>
      </c>
      <c r="M57" s="273">
        <v>400.0</v>
      </c>
    </row>
    <row r="58">
      <c r="A58" s="264">
        <v>45748.0</v>
      </c>
      <c r="B58" s="271">
        <v>45751.0</v>
      </c>
      <c r="C58" s="272" t="s">
        <v>288</v>
      </c>
      <c r="D58" s="272" t="s">
        <v>289</v>
      </c>
      <c r="E58" s="275">
        <v>45751.0</v>
      </c>
      <c r="F58" s="272" t="s">
        <v>290</v>
      </c>
      <c r="G58" s="272" t="s">
        <v>197</v>
      </c>
      <c r="H58" s="272" t="s">
        <v>291</v>
      </c>
      <c r="I58" s="272" t="s">
        <v>204</v>
      </c>
      <c r="J58" s="273">
        <v>1.0</v>
      </c>
      <c r="K58" s="272" t="s">
        <v>196</v>
      </c>
      <c r="L58" s="269">
        <v>54499.6</v>
      </c>
      <c r="M58" s="276">
        <v>54499.6</v>
      </c>
    </row>
    <row r="59">
      <c r="A59" s="264">
        <v>45778.0</v>
      </c>
      <c r="B59" s="271">
        <v>45807.0</v>
      </c>
      <c r="C59" s="272" t="s">
        <v>292</v>
      </c>
      <c r="D59" s="272" t="s">
        <v>293</v>
      </c>
      <c r="E59" s="275">
        <v>45807.0</v>
      </c>
      <c r="F59" s="272" t="s">
        <v>294</v>
      </c>
      <c r="G59" s="272" t="s">
        <v>197</v>
      </c>
      <c r="H59" s="272" t="s">
        <v>295</v>
      </c>
      <c r="I59" s="272"/>
      <c r="J59" s="273">
        <v>4.0</v>
      </c>
      <c r="K59" s="272" t="s">
        <v>205</v>
      </c>
      <c r="L59" s="274">
        <v>300.0</v>
      </c>
      <c r="M59" s="276">
        <v>1200.0</v>
      </c>
    </row>
    <row r="60">
      <c r="A60" s="264">
        <v>45778.0</v>
      </c>
      <c r="B60" s="271">
        <v>45807.0</v>
      </c>
      <c r="C60" s="272" t="s">
        <v>296</v>
      </c>
      <c r="D60" s="272"/>
      <c r="E60" s="275">
        <v>45807.0</v>
      </c>
      <c r="F60" s="272" t="s">
        <v>297</v>
      </c>
      <c r="G60" s="272" t="s">
        <v>197</v>
      </c>
      <c r="H60" s="272" t="s">
        <v>298</v>
      </c>
      <c r="I60" s="272" t="s">
        <v>204</v>
      </c>
      <c r="J60" s="273">
        <v>1.0</v>
      </c>
      <c r="K60" s="272" t="s">
        <v>196</v>
      </c>
      <c r="L60" s="274">
        <v>300.0</v>
      </c>
      <c r="M60" s="273">
        <v>0.0</v>
      </c>
    </row>
    <row r="61">
      <c r="A61" s="264">
        <v>45778.0</v>
      </c>
      <c r="B61" s="271">
        <v>45805.0</v>
      </c>
      <c r="C61" s="272" t="s">
        <v>239</v>
      </c>
      <c r="D61" s="272" t="s">
        <v>240</v>
      </c>
      <c r="E61" s="275">
        <v>45805.0</v>
      </c>
      <c r="F61" s="272" t="s">
        <v>299</v>
      </c>
      <c r="G61" s="272" t="s">
        <v>197</v>
      </c>
      <c r="H61" s="272" t="s">
        <v>300</v>
      </c>
      <c r="I61" s="272" t="s">
        <v>204</v>
      </c>
      <c r="J61" s="273">
        <v>1.0</v>
      </c>
      <c r="K61" s="272" t="s">
        <v>196</v>
      </c>
      <c r="L61" s="274">
        <v>450.0</v>
      </c>
      <c r="M61" s="273">
        <v>0.0</v>
      </c>
    </row>
    <row r="62">
      <c r="A62" s="264">
        <v>45778.0</v>
      </c>
      <c r="B62" s="271"/>
      <c r="C62" s="272"/>
      <c r="D62" s="272"/>
      <c r="E62" s="272"/>
      <c r="F62" s="272"/>
      <c r="G62" s="272" t="s">
        <v>197</v>
      </c>
      <c r="H62" s="272" t="s">
        <v>301</v>
      </c>
      <c r="I62" s="272" t="s">
        <v>204</v>
      </c>
      <c r="J62" s="273">
        <v>1.0</v>
      </c>
      <c r="K62" s="272" t="s">
        <v>196</v>
      </c>
      <c r="L62" s="274">
        <v>600.0</v>
      </c>
      <c r="M62" s="273">
        <v>0.0</v>
      </c>
    </row>
    <row r="63">
      <c r="A63" s="264">
        <v>45778.0</v>
      </c>
      <c r="B63" s="271"/>
      <c r="C63" s="272"/>
      <c r="D63" s="272"/>
      <c r="E63" s="272"/>
      <c r="F63" s="272"/>
      <c r="G63" s="272" t="s">
        <v>197</v>
      </c>
      <c r="H63" s="272" t="s">
        <v>302</v>
      </c>
      <c r="I63" s="272" t="s">
        <v>204</v>
      </c>
      <c r="J63" s="273">
        <v>1.0</v>
      </c>
      <c r="K63" s="272" t="s">
        <v>196</v>
      </c>
      <c r="L63" s="274">
        <v>350.0</v>
      </c>
      <c r="M63" s="273">
        <v>0.0</v>
      </c>
    </row>
    <row r="64">
      <c r="A64" s="264">
        <v>45778.0</v>
      </c>
      <c r="B64" s="283"/>
      <c r="C64" s="284"/>
      <c r="D64" s="284"/>
      <c r="E64" s="284"/>
      <c r="F64" s="284"/>
      <c r="G64" s="284" t="s">
        <v>242</v>
      </c>
      <c r="H64" s="284" t="s">
        <v>283</v>
      </c>
      <c r="I64" s="284" t="s">
        <v>284</v>
      </c>
      <c r="J64" s="286">
        <v>1.0</v>
      </c>
      <c r="K64" s="284" t="s">
        <v>196</v>
      </c>
      <c r="L64" s="269">
        <v>25000.0</v>
      </c>
      <c r="M64" s="286">
        <v>0.0</v>
      </c>
    </row>
    <row r="65">
      <c r="A65" s="264">
        <v>45778.0</v>
      </c>
      <c r="B65" s="294"/>
      <c r="C65" s="295"/>
      <c r="D65" s="295"/>
      <c r="E65" s="295"/>
      <c r="F65" s="295"/>
      <c r="G65" s="295" t="s">
        <v>303</v>
      </c>
      <c r="H65" s="295" t="s">
        <v>304</v>
      </c>
      <c r="I65" s="295" t="s">
        <v>305</v>
      </c>
      <c r="J65" s="296">
        <v>1.0</v>
      </c>
      <c r="K65" s="295" t="s">
        <v>196</v>
      </c>
      <c r="L65" s="269">
        <v>1000.0</v>
      </c>
      <c r="M65" s="296">
        <v>0.0</v>
      </c>
    </row>
    <row r="66">
      <c r="A66" s="264">
        <v>45778.0</v>
      </c>
      <c r="B66" s="277">
        <v>45804.0</v>
      </c>
      <c r="C66" s="278" t="s">
        <v>306</v>
      </c>
      <c r="D66" s="278" t="s">
        <v>307</v>
      </c>
      <c r="E66" s="279">
        <v>45804.0</v>
      </c>
      <c r="F66" s="278" t="s">
        <v>308</v>
      </c>
      <c r="G66" s="278" t="s">
        <v>214</v>
      </c>
      <c r="H66" s="278" t="s">
        <v>215</v>
      </c>
      <c r="I66" s="278" t="s">
        <v>216</v>
      </c>
      <c r="J66" s="280">
        <v>1.0</v>
      </c>
      <c r="K66" s="278" t="s">
        <v>196</v>
      </c>
      <c r="L66" s="274">
        <v>768.09</v>
      </c>
      <c r="M66" s="280">
        <v>768.09</v>
      </c>
    </row>
    <row r="67">
      <c r="A67" s="264">
        <v>45778.0</v>
      </c>
      <c r="B67" s="277"/>
      <c r="C67" s="278"/>
      <c r="D67" s="278"/>
      <c r="E67" s="278"/>
      <c r="F67" s="278"/>
      <c r="G67" s="278" t="s">
        <v>214</v>
      </c>
      <c r="H67" s="278" t="s">
        <v>215</v>
      </c>
      <c r="I67" s="278" t="s">
        <v>216</v>
      </c>
      <c r="J67" s="280">
        <v>1.0</v>
      </c>
      <c r="K67" s="278" t="s">
        <v>196</v>
      </c>
      <c r="L67" s="274">
        <v>761.66</v>
      </c>
      <c r="M67" s="280">
        <v>761.66</v>
      </c>
    </row>
    <row r="68">
      <c r="A68" s="264">
        <v>45778.0</v>
      </c>
      <c r="B68" s="277"/>
      <c r="C68" s="278"/>
      <c r="D68" s="278"/>
      <c r="E68" s="278"/>
      <c r="F68" s="278"/>
      <c r="G68" s="278" t="s">
        <v>214</v>
      </c>
      <c r="H68" s="278" t="s">
        <v>215</v>
      </c>
      <c r="I68" s="278" t="s">
        <v>216</v>
      </c>
      <c r="J68" s="280">
        <v>1.0</v>
      </c>
      <c r="K68" s="278" t="s">
        <v>196</v>
      </c>
      <c r="L68" s="269">
        <v>1306.71</v>
      </c>
      <c r="M68" s="281">
        <v>1306.71</v>
      </c>
    </row>
    <row r="69">
      <c r="A69" s="264">
        <v>45778.0</v>
      </c>
      <c r="B69" s="277"/>
      <c r="C69" s="278"/>
      <c r="D69" s="278"/>
      <c r="E69" s="278"/>
      <c r="F69" s="278"/>
      <c r="G69" s="278" t="s">
        <v>214</v>
      </c>
      <c r="H69" s="278" t="s">
        <v>215</v>
      </c>
      <c r="I69" s="278" t="s">
        <v>216</v>
      </c>
      <c r="J69" s="280">
        <v>1.0</v>
      </c>
      <c r="K69" s="278" t="s">
        <v>196</v>
      </c>
      <c r="L69" s="269">
        <v>1804.75</v>
      </c>
      <c r="M69" s="281">
        <v>1804.75</v>
      </c>
    </row>
    <row r="70">
      <c r="A70" s="264">
        <v>45778.0</v>
      </c>
      <c r="B70" s="277"/>
      <c r="C70" s="278"/>
      <c r="D70" s="278"/>
      <c r="E70" s="278"/>
      <c r="F70" s="278"/>
      <c r="G70" s="278" t="s">
        <v>214</v>
      </c>
      <c r="H70" s="278" t="s">
        <v>215</v>
      </c>
      <c r="I70" s="278" t="s">
        <v>216</v>
      </c>
      <c r="J70" s="280">
        <v>1.0</v>
      </c>
      <c r="K70" s="278" t="s">
        <v>196</v>
      </c>
      <c r="L70" s="269">
        <v>3213.35</v>
      </c>
      <c r="M70" s="281">
        <v>3213.35</v>
      </c>
    </row>
    <row r="71">
      <c r="A71" s="264">
        <v>45778.0</v>
      </c>
      <c r="B71" s="277"/>
      <c r="C71" s="278"/>
      <c r="D71" s="278"/>
      <c r="E71" s="278"/>
      <c r="F71" s="278"/>
      <c r="G71" s="278" t="s">
        <v>214</v>
      </c>
      <c r="H71" s="278" t="s">
        <v>215</v>
      </c>
      <c r="I71" s="278" t="s">
        <v>216</v>
      </c>
      <c r="J71" s="280">
        <v>1.0</v>
      </c>
      <c r="K71" s="278" t="s">
        <v>196</v>
      </c>
      <c r="L71" s="269">
        <v>2258.99</v>
      </c>
      <c r="M71" s="281">
        <v>2258.99</v>
      </c>
    </row>
    <row r="72">
      <c r="A72" s="264">
        <v>45778.0</v>
      </c>
      <c r="B72" s="271"/>
      <c r="C72" s="272"/>
      <c r="D72" s="272"/>
      <c r="E72" s="272"/>
      <c r="F72" s="272"/>
      <c r="G72" s="272" t="s">
        <v>197</v>
      </c>
      <c r="H72" s="272" t="s">
        <v>198</v>
      </c>
      <c r="I72" s="272" t="s">
        <v>199</v>
      </c>
      <c r="J72" s="273">
        <v>1.0</v>
      </c>
      <c r="K72" s="272" t="s">
        <v>196</v>
      </c>
      <c r="L72" s="274">
        <v>400.0</v>
      </c>
      <c r="M72" s="273">
        <v>400.0</v>
      </c>
    </row>
    <row r="73">
      <c r="A73" s="264">
        <v>45778.0</v>
      </c>
      <c r="B73" s="271">
        <v>45804.0</v>
      </c>
      <c r="C73" s="272" t="s">
        <v>309</v>
      </c>
      <c r="D73" s="272" t="s">
        <v>310</v>
      </c>
      <c r="E73" s="275">
        <v>45804.0</v>
      </c>
      <c r="F73" s="272" t="s">
        <v>311</v>
      </c>
      <c r="G73" s="272" t="s">
        <v>197</v>
      </c>
      <c r="H73" s="272" t="s">
        <v>312</v>
      </c>
      <c r="I73" s="272" t="s">
        <v>204</v>
      </c>
      <c r="J73" s="273">
        <v>1.0</v>
      </c>
      <c r="K73" s="272" t="s">
        <v>196</v>
      </c>
      <c r="L73" s="274">
        <v>0.0</v>
      </c>
      <c r="M73" s="273">
        <v>0.0</v>
      </c>
    </row>
    <row r="74">
      <c r="A74" s="264">
        <v>45778.0</v>
      </c>
      <c r="B74" s="271"/>
      <c r="C74" s="272"/>
      <c r="D74" s="272"/>
      <c r="E74" s="272"/>
      <c r="F74" s="272"/>
      <c r="G74" s="272" t="s">
        <v>197</v>
      </c>
      <c r="H74" s="272" t="s">
        <v>198</v>
      </c>
      <c r="I74" s="272" t="s">
        <v>199</v>
      </c>
      <c r="J74" s="273">
        <v>1.0</v>
      </c>
      <c r="K74" s="272" t="s">
        <v>196</v>
      </c>
      <c r="L74" s="274">
        <v>350.0</v>
      </c>
      <c r="M74" s="273">
        <v>0.0</v>
      </c>
    </row>
    <row r="75">
      <c r="A75" s="264">
        <v>45778.0</v>
      </c>
      <c r="B75" s="277">
        <v>45799.0</v>
      </c>
      <c r="C75" s="278" t="s">
        <v>313</v>
      </c>
      <c r="D75" s="278"/>
      <c r="E75" s="279">
        <v>45799.0</v>
      </c>
      <c r="F75" s="278" t="s">
        <v>314</v>
      </c>
      <c r="G75" s="278" t="s">
        <v>214</v>
      </c>
      <c r="H75" s="278" t="s">
        <v>215</v>
      </c>
      <c r="I75" s="278" t="s">
        <v>216</v>
      </c>
      <c r="J75" s="280">
        <v>1.0</v>
      </c>
      <c r="K75" s="278" t="s">
        <v>196</v>
      </c>
      <c r="L75" s="274">
        <v>600.0</v>
      </c>
      <c r="M75" s="280">
        <v>0.0</v>
      </c>
    </row>
    <row r="76">
      <c r="A76" s="264">
        <v>45778.0</v>
      </c>
      <c r="B76" s="277">
        <v>45796.0</v>
      </c>
      <c r="C76" s="278" t="s">
        <v>315</v>
      </c>
      <c r="D76" s="278" t="s">
        <v>316</v>
      </c>
      <c r="E76" s="279">
        <v>45796.0</v>
      </c>
      <c r="F76" s="278" t="s">
        <v>317</v>
      </c>
      <c r="G76" s="278" t="s">
        <v>214</v>
      </c>
      <c r="H76" s="278" t="s">
        <v>215</v>
      </c>
      <c r="I76" s="278" t="s">
        <v>216</v>
      </c>
      <c r="J76" s="280">
        <v>1.0</v>
      </c>
      <c r="K76" s="278" t="s">
        <v>196</v>
      </c>
      <c r="L76" s="269">
        <v>13872.35</v>
      </c>
      <c r="M76" s="281">
        <v>13872.35</v>
      </c>
    </row>
    <row r="77">
      <c r="A77" s="264">
        <v>45778.0</v>
      </c>
      <c r="B77" s="271"/>
      <c r="C77" s="272"/>
      <c r="D77" s="272"/>
      <c r="E77" s="272"/>
      <c r="F77" s="272"/>
      <c r="G77" s="272" t="s">
        <v>197</v>
      </c>
      <c r="H77" s="272"/>
      <c r="I77" s="272"/>
      <c r="J77" s="273">
        <v>0.0</v>
      </c>
      <c r="K77" s="272"/>
      <c r="L77" s="274">
        <v>0.0</v>
      </c>
      <c r="M77" s="273">
        <v>0.0</v>
      </c>
    </row>
    <row r="78">
      <c r="A78" s="264">
        <v>45778.0</v>
      </c>
      <c r="B78" s="277">
        <v>45794.0</v>
      </c>
      <c r="C78" s="278" t="s">
        <v>285</v>
      </c>
      <c r="D78" s="278" t="s">
        <v>286</v>
      </c>
      <c r="E78" s="279">
        <v>45794.0</v>
      </c>
      <c r="F78" s="278" t="s">
        <v>318</v>
      </c>
      <c r="G78" s="278" t="s">
        <v>214</v>
      </c>
      <c r="H78" s="278" t="s">
        <v>215</v>
      </c>
      <c r="I78" s="278" t="s">
        <v>216</v>
      </c>
      <c r="J78" s="280">
        <v>1.0</v>
      </c>
      <c r="K78" s="278" t="s">
        <v>196</v>
      </c>
      <c r="L78" s="269">
        <v>3527.67</v>
      </c>
      <c r="M78" s="281">
        <v>3527.67</v>
      </c>
    </row>
    <row r="79">
      <c r="A79" s="264">
        <v>45778.0</v>
      </c>
      <c r="B79" s="283">
        <v>45794.0</v>
      </c>
      <c r="C79" s="284" t="s">
        <v>319</v>
      </c>
      <c r="D79" s="284" t="s">
        <v>320</v>
      </c>
      <c r="E79" s="285">
        <v>45794.0</v>
      </c>
      <c r="F79" s="284" t="s">
        <v>321</v>
      </c>
      <c r="G79" s="284" t="s">
        <v>242</v>
      </c>
      <c r="H79" s="284" t="s">
        <v>322</v>
      </c>
      <c r="I79" s="284" t="s">
        <v>204</v>
      </c>
      <c r="J79" s="286">
        <v>1.0</v>
      </c>
      <c r="K79" s="284" t="s">
        <v>196</v>
      </c>
      <c r="L79" s="269">
        <v>390000.0</v>
      </c>
      <c r="M79" s="287">
        <v>292500.0</v>
      </c>
    </row>
    <row r="80">
      <c r="A80" s="264">
        <v>45778.0</v>
      </c>
      <c r="B80" s="283"/>
      <c r="C80" s="284"/>
      <c r="D80" s="284"/>
      <c r="E80" s="284"/>
      <c r="F80" s="284"/>
      <c r="G80" s="284" t="s">
        <v>242</v>
      </c>
      <c r="H80" s="284" t="s">
        <v>283</v>
      </c>
      <c r="I80" s="284" t="s">
        <v>284</v>
      </c>
      <c r="J80" s="286">
        <v>1.0</v>
      </c>
      <c r="K80" s="284" t="s">
        <v>196</v>
      </c>
      <c r="L80" s="269">
        <v>25000.0</v>
      </c>
      <c r="M80" s="287">
        <v>25000.0</v>
      </c>
    </row>
    <row r="81">
      <c r="A81" s="264">
        <v>45778.0</v>
      </c>
      <c r="B81" s="265"/>
      <c r="C81" s="266"/>
      <c r="D81" s="266"/>
      <c r="E81" s="266"/>
      <c r="F81" s="266"/>
      <c r="G81" s="266" t="s">
        <v>193</v>
      </c>
      <c r="H81" s="266" t="s">
        <v>323</v>
      </c>
      <c r="I81" s="266" t="s">
        <v>249</v>
      </c>
      <c r="J81" s="268">
        <v>1.0</v>
      </c>
      <c r="K81" s="266" t="s">
        <v>196</v>
      </c>
      <c r="L81" s="269">
        <v>1400.0</v>
      </c>
      <c r="M81" s="268">
        <v>0.0</v>
      </c>
    </row>
    <row r="82">
      <c r="A82" s="264">
        <v>45778.0</v>
      </c>
      <c r="B82" s="283"/>
      <c r="C82" s="284"/>
      <c r="D82" s="284"/>
      <c r="E82" s="284"/>
      <c r="F82" s="284"/>
      <c r="G82" s="284" t="s">
        <v>242</v>
      </c>
      <c r="H82" s="284" t="s">
        <v>198</v>
      </c>
      <c r="I82" s="284" t="s">
        <v>199</v>
      </c>
      <c r="J82" s="286">
        <v>1.0</v>
      </c>
      <c r="K82" s="284" t="s">
        <v>196</v>
      </c>
      <c r="L82" s="269">
        <v>20000.0</v>
      </c>
      <c r="M82" s="287">
        <v>20000.0</v>
      </c>
    </row>
    <row r="83">
      <c r="A83" s="264">
        <v>45778.0</v>
      </c>
      <c r="B83" s="271"/>
      <c r="C83" s="272"/>
      <c r="D83" s="272"/>
      <c r="E83" s="272"/>
      <c r="F83" s="272"/>
      <c r="G83" s="272" t="s">
        <v>197</v>
      </c>
      <c r="H83" s="272"/>
      <c r="I83" s="272"/>
      <c r="J83" s="273">
        <v>0.0</v>
      </c>
      <c r="K83" s="272"/>
      <c r="L83" s="274">
        <v>0.0</v>
      </c>
      <c r="M83" s="273">
        <v>0.0</v>
      </c>
    </row>
    <row r="84">
      <c r="A84" s="264">
        <v>45778.0</v>
      </c>
      <c r="B84" s="271">
        <v>45793.0</v>
      </c>
      <c r="C84" s="272" t="s">
        <v>324</v>
      </c>
      <c r="D84" s="272" t="s">
        <v>325</v>
      </c>
      <c r="E84" s="275">
        <v>45793.0</v>
      </c>
      <c r="F84" s="272" t="s">
        <v>326</v>
      </c>
      <c r="G84" s="272" t="s">
        <v>197</v>
      </c>
      <c r="H84" s="272" t="s">
        <v>256</v>
      </c>
      <c r="I84" s="272" t="s">
        <v>204</v>
      </c>
      <c r="J84" s="273">
        <v>1.0</v>
      </c>
      <c r="K84" s="272" t="s">
        <v>196</v>
      </c>
      <c r="L84" s="269">
        <v>1000.0</v>
      </c>
      <c r="M84" s="276">
        <v>1000.0</v>
      </c>
    </row>
    <row r="85">
      <c r="A85" s="264">
        <v>45778.0</v>
      </c>
      <c r="B85" s="271"/>
      <c r="C85" s="272"/>
      <c r="D85" s="272"/>
      <c r="E85" s="272"/>
      <c r="F85" s="272"/>
      <c r="G85" s="272" t="s">
        <v>197</v>
      </c>
      <c r="H85" s="272" t="s">
        <v>253</v>
      </c>
      <c r="I85" s="272" t="s">
        <v>204</v>
      </c>
      <c r="J85" s="273">
        <v>1.0</v>
      </c>
      <c r="K85" s="272" t="s">
        <v>196</v>
      </c>
      <c r="L85" s="269">
        <v>2400.0</v>
      </c>
      <c r="M85" s="276">
        <v>2400.0</v>
      </c>
    </row>
    <row r="86">
      <c r="A86" s="264">
        <v>45778.0</v>
      </c>
      <c r="B86" s="271"/>
      <c r="C86" s="272"/>
      <c r="D86" s="272"/>
      <c r="E86" s="272"/>
      <c r="F86" s="272"/>
      <c r="G86" s="272" t="s">
        <v>197</v>
      </c>
      <c r="H86" s="272" t="s">
        <v>206</v>
      </c>
      <c r="I86" s="272" t="s">
        <v>204</v>
      </c>
      <c r="J86" s="273">
        <v>1.0</v>
      </c>
      <c r="K86" s="272" t="s">
        <v>196</v>
      </c>
      <c r="L86" s="274">
        <v>350.0</v>
      </c>
      <c r="M86" s="273">
        <v>350.0</v>
      </c>
    </row>
    <row r="87">
      <c r="A87" s="264">
        <v>45778.0</v>
      </c>
      <c r="B87" s="271"/>
      <c r="C87" s="272"/>
      <c r="D87" s="272"/>
      <c r="E87" s="272"/>
      <c r="F87" s="272"/>
      <c r="G87" s="272" t="s">
        <v>197</v>
      </c>
      <c r="H87" s="272" t="s">
        <v>327</v>
      </c>
      <c r="I87" s="272" t="s">
        <v>328</v>
      </c>
      <c r="J87" s="273">
        <v>2.0</v>
      </c>
      <c r="K87" s="272" t="s">
        <v>196</v>
      </c>
      <c r="L87" s="274">
        <v>400.0</v>
      </c>
      <c r="M87" s="273">
        <v>800.0</v>
      </c>
    </row>
    <row r="88">
      <c r="A88" s="264">
        <v>45778.0</v>
      </c>
      <c r="B88" s="271"/>
      <c r="C88" s="272"/>
      <c r="D88" s="272"/>
      <c r="E88" s="272"/>
      <c r="F88" s="272"/>
      <c r="G88" s="272" t="s">
        <v>197</v>
      </c>
      <c r="H88" s="272" t="s">
        <v>329</v>
      </c>
      <c r="I88" s="272" t="s">
        <v>204</v>
      </c>
      <c r="J88" s="273">
        <v>2.0</v>
      </c>
      <c r="K88" s="272" t="s">
        <v>196</v>
      </c>
      <c r="L88" s="274">
        <v>100.0</v>
      </c>
      <c r="M88" s="273">
        <v>200.0</v>
      </c>
    </row>
    <row r="89">
      <c r="A89" s="264">
        <v>45778.0</v>
      </c>
      <c r="B89" s="271"/>
      <c r="C89" s="272"/>
      <c r="D89" s="272"/>
      <c r="E89" s="272"/>
      <c r="F89" s="272"/>
      <c r="G89" s="272" t="s">
        <v>197</v>
      </c>
      <c r="H89" s="272" t="s">
        <v>198</v>
      </c>
      <c r="I89" s="272" t="s">
        <v>199</v>
      </c>
      <c r="J89" s="273">
        <v>1.0</v>
      </c>
      <c r="K89" s="272" t="s">
        <v>196</v>
      </c>
      <c r="L89" s="274">
        <v>350.0</v>
      </c>
      <c r="M89" s="273">
        <v>350.0</v>
      </c>
    </row>
    <row r="90">
      <c r="A90" s="264">
        <v>45778.0</v>
      </c>
      <c r="B90" s="271">
        <v>45792.0</v>
      </c>
      <c r="C90" s="272" t="s">
        <v>250</v>
      </c>
      <c r="D90" s="272" t="s">
        <v>251</v>
      </c>
      <c r="E90" s="275">
        <v>45792.0</v>
      </c>
      <c r="F90" s="272" t="s">
        <v>330</v>
      </c>
      <c r="G90" s="272" t="s">
        <v>197</v>
      </c>
      <c r="H90" s="282" t="s">
        <v>331</v>
      </c>
      <c r="I90" s="272" t="s">
        <v>204</v>
      </c>
      <c r="J90" s="273">
        <v>1.0</v>
      </c>
      <c r="K90" s="272" t="s">
        <v>196</v>
      </c>
      <c r="L90" s="269">
        <v>5500.0</v>
      </c>
      <c r="M90" s="276">
        <v>5500.0</v>
      </c>
    </row>
    <row r="91">
      <c r="A91" s="264">
        <v>45778.0</v>
      </c>
      <c r="B91" s="271"/>
      <c r="C91" s="272"/>
      <c r="D91" s="272"/>
      <c r="E91" s="272"/>
      <c r="F91" s="272"/>
      <c r="G91" s="272" t="s">
        <v>197</v>
      </c>
      <c r="H91" s="272" t="s">
        <v>198</v>
      </c>
      <c r="I91" s="272" t="s">
        <v>199</v>
      </c>
      <c r="J91" s="273">
        <v>1.0</v>
      </c>
      <c r="K91" s="272" t="s">
        <v>196</v>
      </c>
      <c r="L91" s="274">
        <v>350.0</v>
      </c>
      <c r="M91" s="273">
        <v>350.0</v>
      </c>
    </row>
    <row r="92">
      <c r="A92" s="264">
        <v>45778.0</v>
      </c>
      <c r="B92" s="271">
        <v>45792.0</v>
      </c>
      <c r="C92" s="272" t="s">
        <v>270</v>
      </c>
      <c r="D92" s="272" t="s">
        <v>271</v>
      </c>
      <c r="E92" s="275">
        <v>45792.0</v>
      </c>
      <c r="F92" s="272" t="s">
        <v>332</v>
      </c>
      <c r="G92" s="272" t="s">
        <v>197</v>
      </c>
      <c r="H92" s="272"/>
      <c r="I92" s="272"/>
      <c r="J92" s="273">
        <v>0.0</v>
      </c>
      <c r="K92" s="272"/>
      <c r="L92" s="274">
        <v>0.0</v>
      </c>
      <c r="M92" s="273">
        <v>0.0</v>
      </c>
    </row>
    <row r="93">
      <c r="A93" s="264">
        <v>45778.0</v>
      </c>
      <c r="B93" s="265"/>
      <c r="C93" s="266"/>
      <c r="D93" s="266"/>
      <c r="E93" s="266"/>
      <c r="F93" s="266"/>
      <c r="G93" s="266" t="s">
        <v>193</v>
      </c>
      <c r="H93" s="266" t="s">
        <v>333</v>
      </c>
      <c r="I93" s="266" t="s">
        <v>334</v>
      </c>
      <c r="J93" s="268">
        <v>1.0</v>
      </c>
      <c r="K93" s="266" t="s">
        <v>196</v>
      </c>
      <c r="L93" s="269">
        <v>116000.0</v>
      </c>
      <c r="M93" s="270">
        <v>104400.0</v>
      </c>
    </row>
    <row r="94">
      <c r="A94" s="264">
        <v>45778.0</v>
      </c>
      <c r="B94" s="271"/>
      <c r="C94" s="272"/>
      <c r="D94" s="272"/>
      <c r="E94" s="272"/>
      <c r="F94" s="272"/>
      <c r="G94" s="272" t="s">
        <v>197</v>
      </c>
      <c r="H94" s="272"/>
      <c r="I94" s="272"/>
      <c r="J94" s="273">
        <v>0.0</v>
      </c>
      <c r="K94" s="272"/>
      <c r="L94" s="274">
        <v>0.0</v>
      </c>
      <c r="M94" s="273">
        <v>0.0</v>
      </c>
    </row>
    <row r="95">
      <c r="A95" s="264">
        <v>45778.0</v>
      </c>
      <c r="B95" s="271"/>
      <c r="C95" s="272"/>
      <c r="D95" s="272"/>
      <c r="E95" s="272"/>
      <c r="F95" s="272"/>
      <c r="G95" s="272" t="s">
        <v>197</v>
      </c>
      <c r="H95" s="272"/>
      <c r="I95" s="272"/>
      <c r="J95" s="273">
        <v>0.0</v>
      </c>
      <c r="K95" s="272"/>
      <c r="L95" s="274">
        <v>0.0</v>
      </c>
      <c r="M95" s="273">
        <v>0.0</v>
      </c>
    </row>
    <row r="96">
      <c r="A96" s="264">
        <v>45778.0</v>
      </c>
      <c r="B96" s="271"/>
      <c r="C96" s="272"/>
      <c r="D96" s="272"/>
      <c r="E96" s="272"/>
      <c r="F96" s="272"/>
      <c r="G96" s="272" t="s">
        <v>197</v>
      </c>
      <c r="H96" s="272" t="s">
        <v>335</v>
      </c>
      <c r="I96" s="272" t="s">
        <v>336</v>
      </c>
      <c r="J96" s="273">
        <v>8.0</v>
      </c>
      <c r="K96" s="272" t="s">
        <v>196</v>
      </c>
      <c r="L96" s="274">
        <v>0.0</v>
      </c>
      <c r="M96" s="273">
        <v>0.0</v>
      </c>
    </row>
    <row r="97">
      <c r="A97" s="264">
        <v>45778.0</v>
      </c>
      <c r="B97" s="271"/>
      <c r="C97" s="272"/>
      <c r="D97" s="272"/>
      <c r="E97" s="272"/>
      <c r="F97" s="272"/>
      <c r="G97" s="272" t="s">
        <v>197</v>
      </c>
      <c r="H97" s="272" t="s">
        <v>335</v>
      </c>
      <c r="I97" s="272" t="s">
        <v>336</v>
      </c>
      <c r="J97" s="273">
        <v>1.0</v>
      </c>
      <c r="K97" s="272" t="s">
        <v>196</v>
      </c>
      <c r="L97" s="274">
        <v>0.0</v>
      </c>
      <c r="M97" s="273">
        <v>0.0</v>
      </c>
    </row>
    <row r="98">
      <c r="A98" s="264">
        <v>45778.0</v>
      </c>
      <c r="B98" s="271">
        <v>45792.0</v>
      </c>
      <c r="C98" s="272" t="s">
        <v>337</v>
      </c>
      <c r="D98" s="272" t="s">
        <v>338</v>
      </c>
      <c r="E98" s="275">
        <v>45792.0</v>
      </c>
      <c r="F98" s="272" t="s">
        <v>339</v>
      </c>
      <c r="G98" s="272" t="s">
        <v>197</v>
      </c>
      <c r="H98" s="272" t="s">
        <v>340</v>
      </c>
      <c r="I98" s="272" t="s">
        <v>204</v>
      </c>
      <c r="J98" s="273">
        <v>5.0</v>
      </c>
      <c r="K98" s="272" t="s">
        <v>205</v>
      </c>
      <c r="L98" s="274">
        <v>350.0</v>
      </c>
      <c r="M98" s="276">
        <v>1750.0</v>
      </c>
    </row>
    <row r="99">
      <c r="A99" s="264">
        <v>45778.0</v>
      </c>
      <c r="B99" s="271"/>
      <c r="C99" s="272"/>
      <c r="D99" s="272"/>
      <c r="E99" s="272"/>
      <c r="F99" s="272"/>
      <c r="G99" s="272" t="s">
        <v>197</v>
      </c>
      <c r="H99" s="272" t="s">
        <v>198</v>
      </c>
      <c r="I99" s="272" t="s">
        <v>199</v>
      </c>
      <c r="J99" s="273">
        <v>1.0</v>
      </c>
      <c r="K99" s="272" t="s">
        <v>196</v>
      </c>
      <c r="L99" s="274">
        <v>350.0</v>
      </c>
      <c r="M99" s="273">
        <v>350.0</v>
      </c>
    </row>
    <row r="100">
      <c r="A100" s="264">
        <v>45778.0</v>
      </c>
      <c r="B100" s="271">
        <v>45791.0</v>
      </c>
      <c r="C100" s="272" t="s">
        <v>233</v>
      </c>
      <c r="D100" s="272" t="s">
        <v>234</v>
      </c>
      <c r="E100" s="275">
        <v>45791.0</v>
      </c>
      <c r="F100" s="272" t="s">
        <v>341</v>
      </c>
      <c r="G100" s="272" t="s">
        <v>197</v>
      </c>
      <c r="H100" s="272" t="s">
        <v>342</v>
      </c>
      <c r="I100" s="272" t="s">
        <v>204</v>
      </c>
      <c r="J100" s="273">
        <v>1.0</v>
      </c>
      <c r="K100" s="272" t="s">
        <v>196</v>
      </c>
      <c r="L100" s="274">
        <v>300.0</v>
      </c>
      <c r="M100" s="273">
        <v>300.0</v>
      </c>
    </row>
    <row r="101">
      <c r="A101" s="264">
        <v>45778.0</v>
      </c>
      <c r="B101" s="271"/>
      <c r="C101" s="272"/>
      <c r="D101" s="272"/>
      <c r="E101" s="272"/>
      <c r="F101" s="272"/>
      <c r="G101" s="272" t="s">
        <v>197</v>
      </c>
      <c r="H101" s="272" t="s">
        <v>209</v>
      </c>
      <c r="I101" s="272" t="s">
        <v>210</v>
      </c>
      <c r="J101" s="273">
        <v>1.0</v>
      </c>
      <c r="K101" s="272" t="s">
        <v>196</v>
      </c>
      <c r="L101" s="274">
        <v>400.0</v>
      </c>
      <c r="M101" s="273">
        <v>400.0</v>
      </c>
    </row>
    <row r="102">
      <c r="A102" s="264">
        <v>45778.0</v>
      </c>
      <c r="B102" s="277">
        <v>45790.0</v>
      </c>
      <c r="C102" s="278" t="s">
        <v>343</v>
      </c>
      <c r="D102" s="278" t="s">
        <v>344</v>
      </c>
      <c r="E102" s="279">
        <v>45790.0</v>
      </c>
      <c r="F102" s="278" t="s">
        <v>345</v>
      </c>
      <c r="G102" s="278" t="s">
        <v>214</v>
      </c>
      <c r="H102" s="278" t="s">
        <v>215</v>
      </c>
      <c r="I102" s="278" t="s">
        <v>216</v>
      </c>
      <c r="J102" s="280">
        <v>2.0</v>
      </c>
      <c r="K102" s="278" t="s">
        <v>196</v>
      </c>
      <c r="L102" s="274">
        <v>200.0</v>
      </c>
      <c r="M102" s="280">
        <v>400.0</v>
      </c>
    </row>
    <row r="103">
      <c r="A103" s="264">
        <v>45778.0</v>
      </c>
      <c r="B103" s="277"/>
      <c r="C103" s="278"/>
      <c r="D103" s="278"/>
      <c r="E103" s="278"/>
      <c r="F103" s="278"/>
      <c r="G103" s="278" t="s">
        <v>214</v>
      </c>
      <c r="H103" s="278" t="s">
        <v>215</v>
      </c>
      <c r="I103" s="278" t="s">
        <v>216</v>
      </c>
      <c r="J103" s="280">
        <v>2.0</v>
      </c>
      <c r="K103" s="278" t="s">
        <v>196</v>
      </c>
      <c r="L103" s="274">
        <v>200.0</v>
      </c>
      <c r="M103" s="280">
        <v>400.0</v>
      </c>
    </row>
    <row r="104">
      <c r="A104" s="264">
        <v>45778.0</v>
      </c>
      <c r="B104" s="277"/>
      <c r="C104" s="278"/>
      <c r="D104" s="278"/>
      <c r="E104" s="278"/>
      <c r="F104" s="278"/>
      <c r="G104" s="278" t="s">
        <v>214</v>
      </c>
      <c r="H104" s="278" t="s">
        <v>215</v>
      </c>
      <c r="I104" s="278" t="s">
        <v>216</v>
      </c>
      <c r="J104" s="280">
        <v>3.0</v>
      </c>
      <c r="K104" s="278" t="s">
        <v>196</v>
      </c>
      <c r="L104" s="274">
        <v>200.0</v>
      </c>
      <c r="M104" s="280">
        <v>600.0</v>
      </c>
    </row>
    <row r="105">
      <c r="A105" s="264">
        <v>45778.0</v>
      </c>
      <c r="B105" s="277"/>
      <c r="C105" s="278"/>
      <c r="D105" s="278"/>
      <c r="E105" s="278"/>
      <c r="F105" s="278"/>
      <c r="G105" s="278" t="s">
        <v>214</v>
      </c>
      <c r="H105" s="278" t="s">
        <v>215</v>
      </c>
      <c r="I105" s="278" t="s">
        <v>216</v>
      </c>
      <c r="J105" s="280">
        <v>3.0</v>
      </c>
      <c r="K105" s="278" t="s">
        <v>196</v>
      </c>
      <c r="L105" s="274">
        <v>200.0</v>
      </c>
      <c r="M105" s="280">
        <v>600.0</v>
      </c>
    </row>
    <row r="106">
      <c r="A106" s="264">
        <v>45778.0</v>
      </c>
      <c r="B106" s="271"/>
      <c r="C106" s="272"/>
      <c r="D106" s="272"/>
      <c r="E106" s="272"/>
      <c r="F106" s="272"/>
      <c r="G106" s="272" t="s">
        <v>197</v>
      </c>
      <c r="H106" s="272" t="s">
        <v>198</v>
      </c>
      <c r="I106" s="272" t="s">
        <v>199</v>
      </c>
      <c r="J106" s="273">
        <v>1.0</v>
      </c>
      <c r="K106" s="272" t="s">
        <v>196</v>
      </c>
      <c r="L106" s="274">
        <v>500.0</v>
      </c>
      <c r="M106" s="273">
        <v>500.0</v>
      </c>
    </row>
    <row r="107">
      <c r="A107" s="264">
        <v>45778.0</v>
      </c>
      <c r="B107" s="283">
        <v>45790.0</v>
      </c>
      <c r="C107" s="284" t="s">
        <v>346</v>
      </c>
      <c r="D107" s="284" t="s">
        <v>347</v>
      </c>
      <c r="E107" s="285">
        <v>45790.0</v>
      </c>
      <c r="F107" s="284" t="s">
        <v>348</v>
      </c>
      <c r="G107" s="284" t="s">
        <v>242</v>
      </c>
      <c r="H107" s="284" t="s">
        <v>283</v>
      </c>
      <c r="I107" s="284" t="s">
        <v>284</v>
      </c>
      <c r="J107" s="286">
        <v>1.0</v>
      </c>
      <c r="K107" s="284" t="s">
        <v>196</v>
      </c>
      <c r="L107" s="269">
        <v>4245.0</v>
      </c>
      <c r="M107" s="287">
        <v>4245.0</v>
      </c>
    </row>
    <row r="108">
      <c r="A108" s="264">
        <v>45778.0</v>
      </c>
      <c r="B108" s="271"/>
      <c r="C108" s="272"/>
      <c r="D108" s="272"/>
      <c r="E108" s="272"/>
      <c r="F108" s="272"/>
      <c r="G108" s="272" t="s">
        <v>197</v>
      </c>
      <c r="H108" s="272"/>
      <c r="I108" s="272"/>
      <c r="J108" s="273">
        <v>0.0</v>
      </c>
      <c r="K108" s="272"/>
      <c r="L108" s="274">
        <v>0.0</v>
      </c>
      <c r="M108" s="273">
        <v>0.0</v>
      </c>
    </row>
    <row r="109">
      <c r="A109" s="264">
        <v>45778.0</v>
      </c>
      <c r="B109" s="283">
        <v>45789.0</v>
      </c>
      <c r="C109" s="284" t="s">
        <v>349</v>
      </c>
      <c r="D109" s="284" t="s">
        <v>350</v>
      </c>
      <c r="E109" s="285">
        <v>45789.0</v>
      </c>
      <c r="F109" s="284" t="s">
        <v>351</v>
      </c>
      <c r="G109" s="284" t="s">
        <v>242</v>
      </c>
      <c r="H109" s="284" t="s">
        <v>282</v>
      </c>
      <c r="I109" s="284" t="s">
        <v>244</v>
      </c>
      <c r="J109" s="286">
        <v>1.0</v>
      </c>
      <c r="K109" s="284" t="s">
        <v>196</v>
      </c>
      <c r="L109" s="269">
        <v>137499.0</v>
      </c>
      <c r="M109" s="287">
        <v>123749.1</v>
      </c>
    </row>
    <row r="110">
      <c r="A110" s="264">
        <v>45778.0</v>
      </c>
      <c r="B110" s="265"/>
      <c r="C110" s="266"/>
      <c r="D110" s="266"/>
      <c r="E110" s="266"/>
      <c r="F110" s="266"/>
      <c r="G110" s="266" t="s">
        <v>193</v>
      </c>
      <c r="H110" s="266" t="s">
        <v>352</v>
      </c>
      <c r="I110" s="266" t="s">
        <v>249</v>
      </c>
      <c r="J110" s="268">
        <v>5.0</v>
      </c>
      <c r="K110" s="266" t="s">
        <v>196</v>
      </c>
      <c r="L110" s="269">
        <v>3000.0</v>
      </c>
      <c r="M110" s="270">
        <v>15000.0</v>
      </c>
    </row>
    <row r="111">
      <c r="A111" s="264">
        <v>45778.0</v>
      </c>
      <c r="B111" s="265"/>
      <c r="C111" s="266"/>
      <c r="D111" s="266"/>
      <c r="E111" s="266"/>
      <c r="F111" s="266"/>
      <c r="G111" s="266" t="s">
        <v>193</v>
      </c>
      <c r="H111" s="266" t="s">
        <v>353</v>
      </c>
      <c r="I111" s="266" t="s">
        <v>249</v>
      </c>
      <c r="J111" s="268">
        <v>10.0</v>
      </c>
      <c r="K111" s="266" t="s">
        <v>196</v>
      </c>
      <c r="L111" s="269">
        <v>1400.0</v>
      </c>
      <c r="M111" s="270">
        <v>14000.0</v>
      </c>
    </row>
    <row r="112">
      <c r="A112" s="264">
        <v>45778.0</v>
      </c>
      <c r="B112" s="265"/>
      <c r="C112" s="266"/>
      <c r="D112" s="266"/>
      <c r="E112" s="266"/>
      <c r="F112" s="266"/>
      <c r="G112" s="266" t="s">
        <v>193</v>
      </c>
      <c r="H112" s="266" t="s">
        <v>248</v>
      </c>
      <c r="I112" s="266" t="s">
        <v>249</v>
      </c>
      <c r="J112" s="268">
        <v>2.0</v>
      </c>
      <c r="K112" s="266" t="s">
        <v>196</v>
      </c>
      <c r="L112" s="269">
        <v>1400.0</v>
      </c>
      <c r="M112" s="270">
        <v>1400.0</v>
      </c>
    </row>
    <row r="113">
      <c r="A113" s="264">
        <v>45778.0</v>
      </c>
      <c r="B113" s="283"/>
      <c r="C113" s="284"/>
      <c r="D113" s="284"/>
      <c r="E113" s="284"/>
      <c r="F113" s="284"/>
      <c r="G113" s="284" t="s">
        <v>242</v>
      </c>
      <c r="H113" s="284" t="s">
        <v>198</v>
      </c>
      <c r="I113" s="284" t="s">
        <v>199</v>
      </c>
      <c r="J113" s="286">
        <v>1.0</v>
      </c>
      <c r="K113" s="284" t="s">
        <v>196</v>
      </c>
      <c r="L113" s="269">
        <v>20000.0</v>
      </c>
      <c r="M113" s="287">
        <v>20000.0</v>
      </c>
    </row>
    <row r="114">
      <c r="A114" s="264">
        <v>45778.0</v>
      </c>
      <c r="B114" s="283"/>
      <c r="C114" s="284"/>
      <c r="D114" s="284"/>
      <c r="E114" s="284"/>
      <c r="F114" s="284"/>
      <c r="G114" s="284" t="s">
        <v>242</v>
      </c>
      <c r="H114" s="284" t="s">
        <v>283</v>
      </c>
      <c r="I114" s="284" t="s">
        <v>284</v>
      </c>
      <c r="J114" s="286">
        <v>1.0</v>
      </c>
      <c r="K114" s="284" t="s">
        <v>196</v>
      </c>
      <c r="L114" s="269">
        <v>25000.0</v>
      </c>
      <c r="M114" s="287">
        <v>25000.0</v>
      </c>
    </row>
    <row r="115">
      <c r="A115" s="264">
        <v>45778.0</v>
      </c>
      <c r="B115" s="271">
        <v>45785.0</v>
      </c>
      <c r="C115" s="272" t="s">
        <v>233</v>
      </c>
      <c r="D115" s="272" t="s">
        <v>234</v>
      </c>
      <c r="E115" s="275">
        <v>45785.0</v>
      </c>
      <c r="F115" s="272" t="s">
        <v>354</v>
      </c>
      <c r="G115" s="272" t="s">
        <v>197</v>
      </c>
      <c r="H115" s="272" t="s">
        <v>355</v>
      </c>
      <c r="I115" s="272"/>
      <c r="J115" s="273">
        <v>1.0</v>
      </c>
      <c r="K115" s="272" t="s">
        <v>196</v>
      </c>
      <c r="L115" s="274">
        <v>300.0</v>
      </c>
      <c r="M115" s="273">
        <v>300.0</v>
      </c>
    </row>
    <row r="116">
      <c r="A116" s="264">
        <v>45778.0</v>
      </c>
      <c r="B116" s="271"/>
      <c r="C116" s="272"/>
      <c r="D116" s="272"/>
      <c r="E116" s="272"/>
      <c r="F116" s="272"/>
      <c r="G116" s="272" t="s">
        <v>197</v>
      </c>
      <c r="H116" s="272" t="s">
        <v>203</v>
      </c>
      <c r="I116" s="272" t="s">
        <v>204</v>
      </c>
      <c r="J116" s="273">
        <v>100.0</v>
      </c>
      <c r="K116" s="272" t="s">
        <v>356</v>
      </c>
      <c r="L116" s="274">
        <v>0.9</v>
      </c>
      <c r="M116" s="273">
        <v>90.0</v>
      </c>
    </row>
    <row r="117">
      <c r="A117" s="264">
        <v>45778.0</v>
      </c>
      <c r="B117" s="271"/>
      <c r="C117" s="272"/>
      <c r="D117" s="272"/>
      <c r="E117" s="272"/>
      <c r="F117" s="272"/>
      <c r="G117" s="272" t="s">
        <v>197</v>
      </c>
      <c r="H117" s="272" t="s">
        <v>357</v>
      </c>
      <c r="I117" s="272" t="s">
        <v>204</v>
      </c>
      <c r="J117" s="273">
        <v>1.0</v>
      </c>
      <c r="K117" s="272" t="s">
        <v>196</v>
      </c>
      <c r="L117" s="274">
        <v>400.0</v>
      </c>
      <c r="M117" s="273">
        <v>400.0</v>
      </c>
    </row>
    <row r="118">
      <c r="A118" s="264">
        <v>45778.0</v>
      </c>
      <c r="B118" s="271"/>
      <c r="C118" s="272"/>
      <c r="D118" s="272"/>
      <c r="E118" s="272"/>
      <c r="F118" s="272"/>
      <c r="G118" s="272" t="s">
        <v>197</v>
      </c>
      <c r="H118" s="272" t="s">
        <v>209</v>
      </c>
      <c r="I118" s="272" t="s">
        <v>210</v>
      </c>
      <c r="J118" s="273">
        <v>1.0</v>
      </c>
      <c r="K118" s="272" t="s">
        <v>196</v>
      </c>
      <c r="L118" s="274">
        <v>400.0</v>
      </c>
      <c r="M118" s="273">
        <v>400.0</v>
      </c>
    </row>
    <row r="119">
      <c r="A119" s="264">
        <v>45778.0</v>
      </c>
      <c r="B119" s="271">
        <v>45784.0</v>
      </c>
      <c r="C119" s="272" t="s">
        <v>250</v>
      </c>
      <c r="D119" s="272" t="s">
        <v>251</v>
      </c>
      <c r="E119" s="275">
        <v>45784.0</v>
      </c>
      <c r="F119" s="272" t="s">
        <v>358</v>
      </c>
      <c r="G119" s="272" t="s">
        <v>197</v>
      </c>
      <c r="H119" s="272" t="s">
        <v>359</v>
      </c>
      <c r="I119" s="272" t="s">
        <v>204</v>
      </c>
      <c r="J119" s="273">
        <v>10.0</v>
      </c>
      <c r="K119" s="272" t="s">
        <v>196</v>
      </c>
      <c r="L119" s="274">
        <v>350.0</v>
      </c>
      <c r="M119" s="276">
        <v>3500.0</v>
      </c>
    </row>
    <row r="120">
      <c r="A120" s="264">
        <v>45778.0</v>
      </c>
      <c r="B120" s="271"/>
      <c r="C120" s="272"/>
      <c r="D120" s="272"/>
      <c r="E120" s="272"/>
      <c r="F120" s="272"/>
      <c r="G120" s="272" t="s">
        <v>197</v>
      </c>
      <c r="H120" s="272" t="s">
        <v>198</v>
      </c>
      <c r="I120" s="272" t="s">
        <v>199</v>
      </c>
      <c r="J120" s="273">
        <v>1.0</v>
      </c>
      <c r="K120" s="272" t="s">
        <v>196</v>
      </c>
      <c r="L120" s="274">
        <v>350.0</v>
      </c>
      <c r="M120" s="273">
        <v>350.0</v>
      </c>
    </row>
    <row r="121">
      <c r="A121" s="264">
        <v>45778.0</v>
      </c>
      <c r="B121" s="277">
        <v>45784.0</v>
      </c>
      <c r="C121" s="278" t="s">
        <v>285</v>
      </c>
      <c r="D121" s="278" t="s">
        <v>286</v>
      </c>
      <c r="E121" s="279">
        <v>45784.0</v>
      </c>
      <c r="F121" s="278" t="s">
        <v>360</v>
      </c>
      <c r="G121" s="278" t="s">
        <v>214</v>
      </c>
      <c r="H121" s="278" t="s">
        <v>215</v>
      </c>
      <c r="I121" s="278" t="s">
        <v>216</v>
      </c>
      <c r="J121" s="280">
        <v>3.0</v>
      </c>
      <c r="K121" s="278" t="s">
        <v>196</v>
      </c>
      <c r="L121" s="274">
        <v>159.78</v>
      </c>
      <c r="M121" s="280">
        <v>479.34</v>
      </c>
    </row>
    <row r="122">
      <c r="A122" s="264">
        <v>45778.0</v>
      </c>
      <c r="B122" s="271">
        <v>45783.0</v>
      </c>
      <c r="C122" s="272" t="s">
        <v>361</v>
      </c>
      <c r="D122" s="272"/>
      <c r="E122" s="275">
        <v>45783.0</v>
      </c>
      <c r="F122" s="272" t="s">
        <v>362</v>
      </c>
      <c r="G122" s="272" t="s">
        <v>197</v>
      </c>
      <c r="H122" s="282" t="s">
        <v>363</v>
      </c>
      <c r="I122" s="272" t="s">
        <v>204</v>
      </c>
      <c r="J122" s="273">
        <v>1.0</v>
      </c>
      <c r="K122" s="272" t="s">
        <v>196</v>
      </c>
      <c r="L122" s="269">
        <v>7539.0</v>
      </c>
      <c r="M122" s="276">
        <v>7162.05</v>
      </c>
    </row>
    <row r="123">
      <c r="A123" s="264">
        <v>45778.0</v>
      </c>
      <c r="B123" s="271"/>
      <c r="C123" s="272"/>
      <c r="D123" s="272"/>
      <c r="E123" s="272"/>
      <c r="F123" s="272"/>
      <c r="G123" s="272" t="s">
        <v>197</v>
      </c>
      <c r="H123" s="282" t="s">
        <v>364</v>
      </c>
      <c r="I123" s="272" t="s">
        <v>204</v>
      </c>
      <c r="J123" s="273">
        <v>1.0</v>
      </c>
      <c r="K123" s="272" t="s">
        <v>196</v>
      </c>
      <c r="L123" s="269">
        <v>7569.0</v>
      </c>
      <c r="M123" s="276">
        <v>7190.55</v>
      </c>
    </row>
    <row r="124">
      <c r="A124" s="264">
        <v>45778.0</v>
      </c>
      <c r="B124" s="271"/>
      <c r="C124" s="272"/>
      <c r="D124" s="272"/>
      <c r="E124" s="272"/>
      <c r="F124" s="272"/>
      <c r="G124" s="272" t="s">
        <v>197</v>
      </c>
      <c r="H124" s="282" t="s">
        <v>365</v>
      </c>
      <c r="I124" s="272" t="s">
        <v>244</v>
      </c>
      <c r="J124" s="273">
        <v>1.0</v>
      </c>
      <c r="K124" s="272" t="s">
        <v>196</v>
      </c>
      <c r="L124" s="269">
        <v>7569.0</v>
      </c>
      <c r="M124" s="276">
        <v>7190.55</v>
      </c>
    </row>
    <row r="125">
      <c r="A125" s="264">
        <v>45778.0</v>
      </c>
      <c r="B125" s="271"/>
      <c r="C125" s="272"/>
      <c r="D125" s="272"/>
      <c r="E125" s="272"/>
      <c r="F125" s="272"/>
      <c r="G125" s="272" t="s">
        <v>197</v>
      </c>
      <c r="H125" s="282" t="s">
        <v>331</v>
      </c>
      <c r="I125" s="272" t="s">
        <v>204</v>
      </c>
      <c r="J125" s="273">
        <v>1.0</v>
      </c>
      <c r="K125" s="272" t="s">
        <v>196</v>
      </c>
      <c r="L125" s="269">
        <v>6999.0</v>
      </c>
      <c r="M125" s="276">
        <v>6649.05</v>
      </c>
    </row>
    <row r="126">
      <c r="A126" s="264">
        <v>45778.0</v>
      </c>
      <c r="B126" s="271"/>
      <c r="C126" s="272"/>
      <c r="D126" s="272"/>
      <c r="E126" s="272"/>
      <c r="F126" s="272"/>
      <c r="G126" s="272" t="s">
        <v>197</v>
      </c>
      <c r="H126" s="282" t="s">
        <v>366</v>
      </c>
      <c r="I126" s="272" t="s">
        <v>204</v>
      </c>
      <c r="J126" s="273">
        <v>1.0</v>
      </c>
      <c r="K126" s="272" t="s">
        <v>196</v>
      </c>
      <c r="L126" s="269">
        <v>6999.0</v>
      </c>
      <c r="M126" s="276">
        <v>6649.05</v>
      </c>
    </row>
    <row r="127">
      <c r="A127" s="264">
        <v>45778.0</v>
      </c>
      <c r="B127" s="271"/>
      <c r="C127" s="272"/>
      <c r="D127" s="272"/>
      <c r="E127" s="272"/>
      <c r="F127" s="272"/>
      <c r="G127" s="272" t="s">
        <v>197</v>
      </c>
      <c r="H127" s="272" t="s">
        <v>198</v>
      </c>
      <c r="I127" s="272" t="s">
        <v>199</v>
      </c>
      <c r="J127" s="273">
        <v>1.0</v>
      </c>
      <c r="K127" s="272" t="s">
        <v>196</v>
      </c>
      <c r="L127" s="274">
        <v>350.0</v>
      </c>
      <c r="M127" s="273">
        <v>332.5</v>
      </c>
    </row>
    <row r="128">
      <c r="A128" s="264">
        <v>45778.0</v>
      </c>
      <c r="B128" s="277">
        <v>45783.0</v>
      </c>
      <c r="C128" s="278" t="s">
        <v>367</v>
      </c>
      <c r="D128" s="278" t="s">
        <v>368</v>
      </c>
      <c r="E128" s="279">
        <v>45783.0</v>
      </c>
      <c r="F128" s="278" t="s">
        <v>369</v>
      </c>
      <c r="G128" s="278" t="s">
        <v>214</v>
      </c>
      <c r="H128" s="278" t="s">
        <v>215</v>
      </c>
      <c r="I128" s="278" t="s">
        <v>216</v>
      </c>
      <c r="J128" s="280">
        <v>1.0</v>
      </c>
      <c r="K128" s="278" t="s">
        <v>196</v>
      </c>
      <c r="L128" s="269">
        <v>34000.0</v>
      </c>
      <c r="M128" s="281">
        <v>34000.0</v>
      </c>
    </row>
    <row r="129">
      <c r="A129" s="264">
        <v>45778.0</v>
      </c>
      <c r="B129" s="271">
        <v>45783.0</v>
      </c>
      <c r="C129" s="272" t="s">
        <v>370</v>
      </c>
      <c r="D129" s="272"/>
      <c r="E129" s="275">
        <v>45783.0</v>
      </c>
      <c r="F129" s="272" t="s">
        <v>371</v>
      </c>
      <c r="G129" s="272" t="s">
        <v>197</v>
      </c>
      <c r="H129" s="282" t="s">
        <v>219</v>
      </c>
      <c r="I129" s="272" t="s">
        <v>204</v>
      </c>
      <c r="J129" s="273">
        <v>1.0</v>
      </c>
      <c r="K129" s="272" t="s">
        <v>196</v>
      </c>
      <c r="L129" s="269">
        <v>4500.0</v>
      </c>
      <c r="M129" s="273">
        <v>0.0</v>
      </c>
    </row>
    <row r="130">
      <c r="A130" s="264">
        <v>45778.0</v>
      </c>
      <c r="B130" s="271"/>
      <c r="C130" s="272"/>
      <c r="D130" s="272"/>
      <c r="E130" s="272"/>
      <c r="F130" s="272"/>
      <c r="G130" s="272" t="s">
        <v>197</v>
      </c>
      <c r="H130" s="272" t="s">
        <v>198</v>
      </c>
      <c r="I130" s="272" t="s">
        <v>199</v>
      </c>
      <c r="J130" s="273">
        <v>1.0</v>
      </c>
      <c r="K130" s="272" t="s">
        <v>196</v>
      </c>
      <c r="L130" s="274">
        <v>350.0</v>
      </c>
      <c r="M130" s="273">
        <v>0.0</v>
      </c>
    </row>
    <row r="131">
      <c r="A131" s="264">
        <v>45778.0</v>
      </c>
      <c r="B131" s="265">
        <v>45779.0</v>
      </c>
      <c r="C131" s="266" t="s">
        <v>372</v>
      </c>
      <c r="D131" s="266" t="s">
        <v>373</v>
      </c>
      <c r="E131" s="267">
        <v>45779.0</v>
      </c>
      <c r="F131" s="266" t="s">
        <v>374</v>
      </c>
      <c r="G131" s="266" t="s">
        <v>193</v>
      </c>
      <c r="H131" s="266" t="s">
        <v>248</v>
      </c>
      <c r="I131" s="266" t="s">
        <v>249</v>
      </c>
      <c r="J131" s="268">
        <v>1.0</v>
      </c>
      <c r="K131" s="266" t="s">
        <v>196</v>
      </c>
      <c r="L131" s="269">
        <v>1400.0</v>
      </c>
      <c r="M131" s="270">
        <v>1400.0</v>
      </c>
    </row>
    <row r="132">
      <c r="A132" s="264">
        <v>45778.0</v>
      </c>
      <c r="B132" s="271"/>
      <c r="C132" s="272"/>
      <c r="D132" s="272"/>
      <c r="E132" s="272"/>
      <c r="F132" s="272"/>
      <c r="G132" s="272" t="s">
        <v>197</v>
      </c>
      <c r="H132" s="272" t="s">
        <v>375</v>
      </c>
      <c r="I132" s="272" t="s">
        <v>376</v>
      </c>
      <c r="J132" s="273">
        <v>12.0</v>
      </c>
      <c r="K132" s="272" t="s">
        <v>196</v>
      </c>
      <c r="L132" s="274">
        <v>4.0</v>
      </c>
      <c r="M132" s="273">
        <v>48.0</v>
      </c>
    </row>
    <row r="133">
      <c r="A133" s="264">
        <v>45778.0</v>
      </c>
      <c r="B133" s="271"/>
      <c r="C133" s="272"/>
      <c r="D133" s="272"/>
      <c r="E133" s="272"/>
      <c r="F133" s="272"/>
      <c r="G133" s="272" t="s">
        <v>197</v>
      </c>
      <c r="H133" s="272" t="s">
        <v>377</v>
      </c>
      <c r="I133" s="272" t="s">
        <v>204</v>
      </c>
      <c r="J133" s="273">
        <v>12.0</v>
      </c>
      <c r="K133" s="272" t="s">
        <v>196</v>
      </c>
      <c r="L133" s="274">
        <v>1.0</v>
      </c>
      <c r="M133" s="273">
        <v>12.0</v>
      </c>
    </row>
    <row r="134">
      <c r="A134" s="264">
        <v>45778.0</v>
      </c>
      <c r="B134" s="271"/>
      <c r="C134" s="272"/>
      <c r="D134" s="272"/>
      <c r="E134" s="272"/>
      <c r="F134" s="272"/>
      <c r="G134" s="272" t="s">
        <v>197</v>
      </c>
      <c r="H134" s="272" t="s">
        <v>378</v>
      </c>
      <c r="I134" s="272" t="s">
        <v>376</v>
      </c>
      <c r="J134" s="273">
        <v>4.0</v>
      </c>
      <c r="K134" s="272" t="s">
        <v>196</v>
      </c>
      <c r="L134" s="274">
        <v>4.5</v>
      </c>
      <c r="M134" s="273">
        <v>18.0</v>
      </c>
    </row>
    <row r="135">
      <c r="A135" s="264">
        <v>45778.0</v>
      </c>
      <c r="B135" s="271"/>
      <c r="C135" s="272"/>
      <c r="D135" s="272"/>
      <c r="E135" s="272"/>
      <c r="F135" s="272"/>
      <c r="G135" s="272" t="s">
        <v>197</v>
      </c>
      <c r="H135" s="272" t="s">
        <v>379</v>
      </c>
      <c r="I135" s="272" t="s">
        <v>380</v>
      </c>
      <c r="J135" s="273">
        <v>4.0</v>
      </c>
      <c r="K135" s="272" t="s">
        <v>196</v>
      </c>
      <c r="L135" s="274">
        <v>1.0</v>
      </c>
      <c r="M135" s="273">
        <v>4.0</v>
      </c>
    </row>
    <row r="136">
      <c r="A136" s="264">
        <v>45778.0</v>
      </c>
      <c r="B136" s="271"/>
      <c r="C136" s="272"/>
      <c r="D136" s="272"/>
      <c r="E136" s="272"/>
      <c r="F136" s="272"/>
      <c r="G136" s="272" t="s">
        <v>197</v>
      </c>
      <c r="H136" s="272" t="s">
        <v>381</v>
      </c>
      <c r="I136" s="272" t="s">
        <v>376</v>
      </c>
      <c r="J136" s="273">
        <v>4.0</v>
      </c>
      <c r="K136" s="272" t="s">
        <v>196</v>
      </c>
      <c r="L136" s="274">
        <v>24.0</v>
      </c>
      <c r="M136" s="273">
        <v>96.0</v>
      </c>
    </row>
    <row r="137">
      <c r="A137" s="264">
        <v>45778.0</v>
      </c>
      <c r="B137" s="271"/>
      <c r="C137" s="272"/>
      <c r="D137" s="272"/>
      <c r="E137" s="272"/>
      <c r="F137" s="272"/>
      <c r="G137" s="272" t="s">
        <v>197</v>
      </c>
      <c r="H137" s="272" t="s">
        <v>382</v>
      </c>
      <c r="I137" s="272" t="s">
        <v>376</v>
      </c>
      <c r="J137" s="273">
        <v>24.0</v>
      </c>
      <c r="K137" s="272" t="s">
        <v>196</v>
      </c>
      <c r="L137" s="274">
        <v>3.0</v>
      </c>
      <c r="M137" s="273">
        <v>72.0</v>
      </c>
    </row>
    <row r="138">
      <c r="A138" s="264">
        <v>45778.0</v>
      </c>
      <c r="B138" s="271"/>
      <c r="C138" s="272"/>
      <c r="D138" s="272"/>
      <c r="E138" s="272"/>
      <c r="F138" s="272"/>
      <c r="G138" s="272" t="s">
        <v>197</v>
      </c>
      <c r="H138" s="272" t="s">
        <v>228</v>
      </c>
      <c r="I138" s="272" t="s">
        <v>204</v>
      </c>
      <c r="J138" s="273">
        <v>2.0</v>
      </c>
      <c r="K138" s="272" t="s">
        <v>196</v>
      </c>
      <c r="L138" s="274">
        <v>600.0</v>
      </c>
      <c r="M138" s="276">
        <v>1200.0</v>
      </c>
    </row>
    <row r="139">
      <c r="A139" s="264">
        <v>45778.0</v>
      </c>
      <c r="B139" s="271"/>
      <c r="C139" s="272"/>
      <c r="D139" s="272"/>
      <c r="E139" s="272"/>
      <c r="F139" s="272"/>
      <c r="G139" s="272" t="s">
        <v>197</v>
      </c>
      <c r="H139" s="272" t="s">
        <v>383</v>
      </c>
      <c r="I139" s="272" t="s">
        <v>204</v>
      </c>
      <c r="J139" s="273">
        <v>2.0</v>
      </c>
      <c r="K139" s="272" t="s">
        <v>196</v>
      </c>
      <c r="L139" s="274">
        <v>550.0</v>
      </c>
      <c r="M139" s="276">
        <v>1100.0</v>
      </c>
    </row>
    <row r="140">
      <c r="A140" s="264">
        <v>45778.0</v>
      </c>
      <c r="B140" s="271"/>
      <c r="C140" s="272"/>
      <c r="D140" s="272"/>
      <c r="E140" s="272"/>
      <c r="F140" s="272"/>
      <c r="G140" s="272" t="s">
        <v>197</v>
      </c>
      <c r="H140" s="272" t="s">
        <v>384</v>
      </c>
      <c r="I140" s="272" t="s">
        <v>376</v>
      </c>
      <c r="J140" s="273">
        <v>8.0</v>
      </c>
      <c r="K140" s="272" t="s">
        <v>196</v>
      </c>
      <c r="L140" s="274">
        <v>12.0</v>
      </c>
      <c r="M140" s="273">
        <v>96.0</v>
      </c>
    </row>
    <row r="141">
      <c r="A141" s="264">
        <v>45778.0</v>
      </c>
      <c r="B141" s="271"/>
      <c r="C141" s="272"/>
      <c r="D141" s="272"/>
      <c r="E141" s="272"/>
      <c r="F141" s="272"/>
      <c r="G141" s="272" t="s">
        <v>197</v>
      </c>
      <c r="H141" s="272" t="s">
        <v>385</v>
      </c>
      <c r="I141" s="272" t="s">
        <v>380</v>
      </c>
      <c r="J141" s="273">
        <v>8.0</v>
      </c>
      <c r="K141" s="272" t="s">
        <v>196</v>
      </c>
      <c r="L141" s="274">
        <v>3.0</v>
      </c>
      <c r="M141" s="273">
        <v>24.0</v>
      </c>
    </row>
    <row r="142">
      <c r="A142" s="264">
        <v>45778.0</v>
      </c>
      <c r="B142" s="271"/>
      <c r="C142" s="272"/>
      <c r="D142" s="272"/>
      <c r="E142" s="272"/>
      <c r="F142" s="272"/>
      <c r="G142" s="272" t="s">
        <v>197</v>
      </c>
      <c r="H142" s="272" t="s">
        <v>386</v>
      </c>
      <c r="I142" s="272" t="s">
        <v>204</v>
      </c>
      <c r="J142" s="273">
        <v>2.0</v>
      </c>
      <c r="K142" s="272" t="s">
        <v>196</v>
      </c>
      <c r="L142" s="274">
        <v>300.0</v>
      </c>
      <c r="M142" s="273">
        <v>600.0</v>
      </c>
    </row>
    <row r="143">
      <c r="A143" s="264">
        <v>45778.0</v>
      </c>
      <c r="B143" s="271"/>
      <c r="C143" s="272"/>
      <c r="D143" s="272"/>
      <c r="E143" s="272"/>
      <c r="F143" s="272"/>
      <c r="G143" s="272" t="s">
        <v>197</v>
      </c>
      <c r="H143" s="272" t="s">
        <v>387</v>
      </c>
      <c r="I143" s="272" t="s">
        <v>376</v>
      </c>
      <c r="J143" s="273">
        <v>10.0</v>
      </c>
      <c r="K143" s="272" t="s">
        <v>196</v>
      </c>
      <c r="L143" s="274">
        <v>3.0</v>
      </c>
      <c r="M143" s="273">
        <v>30.0</v>
      </c>
    </row>
    <row r="144">
      <c r="A144" s="264">
        <v>45778.0</v>
      </c>
      <c r="B144" s="271"/>
      <c r="C144" s="272"/>
      <c r="D144" s="272"/>
      <c r="E144" s="272"/>
      <c r="F144" s="272"/>
      <c r="G144" s="272" t="s">
        <v>197</v>
      </c>
      <c r="H144" s="272" t="s">
        <v>388</v>
      </c>
      <c r="I144" s="272" t="s">
        <v>380</v>
      </c>
      <c r="J144" s="273">
        <v>8.0</v>
      </c>
      <c r="K144" s="272" t="s">
        <v>196</v>
      </c>
      <c r="L144" s="274">
        <v>2.0</v>
      </c>
      <c r="M144" s="273">
        <v>16.0</v>
      </c>
    </row>
    <row r="145">
      <c r="A145" s="264">
        <v>45778.0</v>
      </c>
      <c r="B145" s="271"/>
      <c r="C145" s="272"/>
      <c r="D145" s="272"/>
      <c r="E145" s="272"/>
      <c r="F145" s="272"/>
      <c r="G145" s="272" t="s">
        <v>197</v>
      </c>
      <c r="H145" s="272" t="s">
        <v>389</v>
      </c>
      <c r="I145" s="272" t="s">
        <v>376</v>
      </c>
      <c r="J145" s="273">
        <v>8.0</v>
      </c>
      <c r="K145" s="272" t="s">
        <v>196</v>
      </c>
      <c r="L145" s="274">
        <v>2.5</v>
      </c>
      <c r="M145" s="273">
        <v>20.0</v>
      </c>
    </row>
    <row r="146">
      <c r="A146" s="264">
        <v>45778.0</v>
      </c>
      <c r="B146" s="271"/>
      <c r="C146" s="272"/>
      <c r="D146" s="272"/>
      <c r="E146" s="272"/>
      <c r="F146" s="272"/>
      <c r="G146" s="272" t="s">
        <v>197</v>
      </c>
      <c r="H146" s="272" t="s">
        <v>390</v>
      </c>
      <c r="I146" s="272" t="s">
        <v>380</v>
      </c>
      <c r="J146" s="273">
        <v>8.0</v>
      </c>
      <c r="K146" s="272" t="s">
        <v>196</v>
      </c>
      <c r="L146" s="274">
        <v>2.0</v>
      </c>
      <c r="M146" s="273">
        <v>16.0</v>
      </c>
    </row>
    <row r="147">
      <c r="A147" s="264">
        <v>45778.0</v>
      </c>
      <c r="B147" s="271"/>
      <c r="C147" s="272"/>
      <c r="D147" s="272"/>
      <c r="E147" s="272"/>
      <c r="F147" s="272"/>
      <c r="G147" s="272" t="s">
        <v>197</v>
      </c>
      <c r="H147" s="272" t="s">
        <v>391</v>
      </c>
      <c r="I147" s="272" t="s">
        <v>380</v>
      </c>
      <c r="J147" s="273">
        <v>4.0</v>
      </c>
      <c r="K147" s="272" t="s">
        <v>196</v>
      </c>
      <c r="L147" s="274">
        <v>2.0</v>
      </c>
      <c r="M147" s="273">
        <v>8.0</v>
      </c>
    </row>
    <row r="148">
      <c r="A148" s="264">
        <v>45778.0</v>
      </c>
      <c r="B148" s="271"/>
      <c r="C148" s="272"/>
      <c r="D148" s="272"/>
      <c r="E148" s="272"/>
      <c r="F148" s="272"/>
      <c r="G148" s="272" t="s">
        <v>197</v>
      </c>
      <c r="H148" s="272" t="s">
        <v>224</v>
      </c>
      <c r="I148" s="272" t="s">
        <v>204</v>
      </c>
      <c r="J148" s="273">
        <v>1.0</v>
      </c>
      <c r="K148" s="272" t="s">
        <v>196</v>
      </c>
      <c r="L148" s="274">
        <v>450.0</v>
      </c>
      <c r="M148" s="273">
        <v>450.0</v>
      </c>
    </row>
    <row r="149">
      <c r="A149" s="264">
        <v>45778.0</v>
      </c>
      <c r="B149" s="271"/>
      <c r="C149" s="272"/>
      <c r="D149" s="272"/>
      <c r="E149" s="272"/>
      <c r="F149" s="272"/>
      <c r="G149" s="272" t="s">
        <v>197</v>
      </c>
      <c r="H149" s="272" t="s">
        <v>392</v>
      </c>
      <c r="I149" s="272" t="s">
        <v>204</v>
      </c>
      <c r="J149" s="273">
        <v>1.0</v>
      </c>
      <c r="K149" s="272" t="s">
        <v>196</v>
      </c>
      <c r="L149" s="274">
        <v>180.0</v>
      </c>
      <c r="M149" s="273">
        <v>180.0</v>
      </c>
    </row>
    <row r="150">
      <c r="A150" s="264">
        <v>45778.0</v>
      </c>
      <c r="B150" s="271"/>
      <c r="C150" s="272"/>
      <c r="D150" s="272"/>
      <c r="E150" s="272"/>
      <c r="F150" s="272"/>
      <c r="G150" s="272" t="s">
        <v>197</v>
      </c>
      <c r="H150" s="272" t="s">
        <v>393</v>
      </c>
      <c r="I150" s="272" t="s">
        <v>204</v>
      </c>
      <c r="J150" s="273">
        <v>1.0</v>
      </c>
      <c r="K150" s="272" t="s">
        <v>196</v>
      </c>
      <c r="L150" s="274">
        <v>230.0</v>
      </c>
      <c r="M150" s="273">
        <v>230.0</v>
      </c>
    </row>
    <row r="151">
      <c r="A151" s="264">
        <v>45778.0</v>
      </c>
      <c r="B151" s="271"/>
      <c r="C151" s="272"/>
      <c r="D151" s="272"/>
      <c r="E151" s="272"/>
      <c r="F151" s="272"/>
      <c r="G151" s="272" t="s">
        <v>197</v>
      </c>
      <c r="H151" s="272" t="s">
        <v>394</v>
      </c>
      <c r="I151" s="272" t="s">
        <v>204</v>
      </c>
      <c r="J151" s="273">
        <v>1.0</v>
      </c>
      <c r="K151" s="272" t="s">
        <v>196</v>
      </c>
      <c r="L151" s="274">
        <v>200.0</v>
      </c>
      <c r="M151" s="273">
        <v>200.0</v>
      </c>
    </row>
    <row r="152">
      <c r="A152" s="264">
        <v>45778.0</v>
      </c>
      <c r="B152" s="271"/>
      <c r="C152" s="272"/>
      <c r="D152" s="272"/>
      <c r="E152" s="272"/>
      <c r="F152" s="272"/>
      <c r="G152" s="272" t="s">
        <v>197</v>
      </c>
      <c r="H152" s="272" t="s">
        <v>359</v>
      </c>
      <c r="I152" s="272" t="s">
        <v>204</v>
      </c>
      <c r="J152" s="273">
        <v>3.5</v>
      </c>
      <c r="K152" s="272" t="s">
        <v>196</v>
      </c>
      <c r="L152" s="274">
        <v>350.0</v>
      </c>
      <c r="M152" s="276">
        <v>1225.0</v>
      </c>
    </row>
    <row r="153">
      <c r="A153" s="264">
        <v>45778.0</v>
      </c>
      <c r="B153" s="271"/>
      <c r="C153" s="272"/>
      <c r="D153" s="272"/>
      <c r="E153" s="272"/>
      <c r="F153" s="272"/>
      <c r="G153" s="272" t="s">
        <v>197</v>
      </c>
      <c r="H153" s="272" t="s">
        <v>395</v>
      </c>
      <c r="I153" s="272"/>
      <c r="J153" s="273">
        <v>1.0</v>
      </c>
      <c r="K153" s="272" t="s">
        <v>196</v>
      </c>
      <c r="L153" s="274">
        <v>200.0</v>
      </c>
      <c r="M153" s="273">
        <v>200.0</v>
      </c>
    </row>
    <row r="154">
      <c r="A154" s="264">
        <v>45778.0</v>
      </c>
      <c r="B154" s="271"/>
      <c r="C154" s="272"/>
      <c r="D154" s="272"/>
      <c r="E154" s="272"/>
      <c r="F154" s="272"/>
      <c r="G154" s="272" t="s">
        <v>197</v>
      </c>
      <c r="H154" s="272" t="s">
        <v>329</v>
      </c>
      <c r="I154" s="272" t="s">
        <v>204</v>
      </c>
      <c r="J154" s="273">
        <v>1.0</v>
      </c>
      <c r="K154" s="272" t="s">
        <v>196</v>
      </c>
      <c r="L154" s="274">
        <v>75.0</v>
      </c>
      <c r="M154" s="273">
        <v>75.0</v>
      </c>
    </row>
    <row r="155">
      <c r="A155" s="264">
        <v>45778.0</v>
      </c>
      <c r="B155" s="283"/>
      <c r="C155" s="284"/>
      <c r="D155" s="284"/>
      <c r="E155" s="284"/>
      <c r="F155" s="284"/>
      <c r="G155" s="284" t="s">
        <v>242</v>
      </c>
      <c r="H155" s="284" t="s">
        <v>198</v>
      </c>
      <c r="I155" s="284" t="s">
        <v>199</v>
      </c>
      <c r="J155" s="286">
        <v>1.0</v>
      </c>
      <c r="K155" s="284" t="s">
        <v>196</v>
      </c>
      <c r="L155" s="269">
        <v>2500.0</v>
      </c>
      <c r="M155" s="287">
        <v>2500.0</v>
      </c>
    </row>
    <row r="156">
      <c r="A156" s="264">
        <v>45778.0</v>
      </c>
      <c r="B156" s="271"/>
      <c r="C156" s="272"/>
      <c r="D156" s="272"/>
      <c r="E156" s="272"/>
      <c r="F156" s="272"/>
      <c r="G156" s="272" t="s">
        <v>197</v>
      </c>
      <c r="H156" s="272" t="s">
        <v>396</v>
      </c>
      <c r="I156" s="272" t="s">
        <v>275</v>
      </c>
      <c r="J156" s="273">
        <v>1.0</v>
      </c>
      <c r="K156" s="272" t="s">
        <v>196</v>
      </c>
      <c r="L156" s="269">
        <v>2000.0</v>
      </c>
      <c r="M156" s="276">
        <v>2000.0</v>
      </c>
    </row>
    <row r="157">
      <c r="A157" s="264">
        <v>45778.0</v>
      </c>
      <c r="B157" s="277">
        <v>45779.0</v>
      </c>
      <c r="C157" s="278" t="s">
        <v>285</v>
      </c>
      <c r="D157" s="278" t="s">
        <v>286</v>
      </c>
      <c r="E157" s="279">
        <v>45779.0</v>
      </c>
      <c r="F157" s="278" t="s">
        <v>397</v>
      </c>
      <c r="G157" s="278" t="s">
        <v>214</v>
      </c>
      <c r="H157" s="278" t="s">
        <v>215</v>
      </c>
      <c r="I157" s="278" t="s">
        <v>216</v>
      </c>
      <c r="J157" s="280">
        <v>10.0</v>
      </c>
      <c r="K157" s="278" t="s">
        <v>196</v>
      </c>
      <c r="L157" s="274">
        <v>304.4</v>
      </c>
      <c r="M157" s="281">
        <v>3044.0</v>
      </c>
    </row>
    <row r="158">
      <c r="A158" s="264">
        <v>45778.0</v>
      </c>
      <c r="B158" s="271"/>
      <c r="C158" s="272"/>
      <c r="D158" s="272"/>
      <c r="E158" s="272"/>
      <c r="F158" s="272"/>
      <c r="G158" s="272" t="s">
        <v>197</v>
      </c>
      <c r="H158" s="272" t="s">
        <v>198</v>
      </c>
      <c r="I158" s="272" t="s">
        <v>199</v>
      </c>
      <c r="J158" s="273">
        <v>1.0</v>
      </c>
      <c r="K158" s="272" t="s">
        <v>196</v>
      </c>
      <c r="L158" s="274">
        <v>600.0</v>
      </c>
      <c r="M158" s="273">
        <v>600.0</v>
      </c>
    </row>
    <row r="159">
      <c r="A159" s="264">
        <v>45778.0</v>
      </c>
      <c r="B159" s="271">
        <v>45779.0</v>
      </c>
      <c r="C159" s="272" t="s">
        <v>398</v>
      </c>
      <c r="D159" s="272" t="s">
        <v>399</v>
      </c>
      <c r="E159" s="275">
        <v>45779.0</v>
      </c>
      <c r="F159" s="272" t="s">
        <v>400</v>
      </c>
      <c r="G159" s="272" t="s">
        <v>197</v>
      </c>
      <c r="H159" s="272" t="s">
        <v>401</v>
      </c>
      <c r="I159" s="272" t="s">
        <v>204</v>
      </c>
      <c r="J159" s="273">
        <v>1.0</v>
      </c>
      <c r="K159" s="272" t="s">
        <v>196</v>
      </c>
      <c r="L159" s="269">
        <v>2000.0</v>
      </c>
      <c r="M159" s="273">
        <v>0.0</v>
      </c>
    </row>
    <row r="160">
      <c r="A160" s="264">
        <v>45778.0</v>
      </c>
      <c r="B160" s="271"/>
      <c r="C160" s="272"/>
      <c r="D160" s="272"/>
      <c r="E160" s="272"/>
      <c r="F160" s="272"/>
      <c r="G160" s="272" t="s">
        <v>197</v>
      </c>
      <c r="H160" s="272" t="s">
        <v>198</v>
      </c>
      <c r="I160" s="272" t="s">
        <v>199</v>
      </c>
      <c r="J160" s="273">
        <v>1.0</v>
      </c>
      <c r="K160" s="272" t="s">
        <v>196</v>
      </c>
      <c r="L160" s="274">
        <v>350.0</v>
      </c>
      <c r="M160" s="273">
        <v>0.0</v>
      </c>
    </row>
    <row r="161">
      <c r="A161" s="264">
        <v>45778.0</v>
      </c>
      <c r="B161" s="271"/>
      <c r="C161" s="272"/>
      <c r="D161" s="272"/>
      <c r="E161" s="272"/>
      <c r="F161" s="272"/>
      <c r="G161" s="272" t="s">
        <v>197</v>
      </c>
      <c r="H161" s="272"/>
      <c r="I161" s="272"/>
      <c r="J161" s="273">
        <v>0.0</v>
      </c>
      <c r="K161" s="272"/>
      <c r="L161" s="274">
        <v>0.0</v>
      </c>
      <c r="M161" s="273">
        <v>0.0</v>
      </c>
    </row>
    <row r="162">
      <c r="A162" s="264">
        <v>45809.0</v>
      </c>
      <c r="B162" s="283">
        <v>45838.0</v>
      </c>
      <c r="C162" s="284" t="s">
        <v>309</v>
      </c>
      <c r="D162" s="284" t="s">
        <v>310</v>
      </c>
      <c r="E162" s="285">
        <v>45838.0</v>
      </c>
      <c r="F162" s="284" t="s">
        <v>402</v>
      </c>
      <c r="G162" s="284" t="s">
        <v>242</v>
      </c>
      <c r="H162" s="284" t="s">
        <v>322</v>
      </c>
      <c r="I162" s="284" t="s">
        <v>204</v>
      </c>
      <c r="J162" s="286">
        <v>1.0</v>
      </c>
      <c r="K162" s="284" t="s">
        <v>196</v>
      </c>
      <c r="L162" s="269">
        <v>350000.0</v>
      </c>
      <c r="M162" s="287">
        <v>350000.0</v>
      </c>
    </row>
    <row r="163">
      <c r="A163" s="264">
        <v>45809.0</v>
      </c>
      <c r="B163" s="271"/>
      <c r="C163" s="272"/>
      <c r="D163" s="272"/>
      <c r="E163" s="272"/>
      <c r="F163" s="272"/>
      <c r="G163" s="272" t="s">
        <v>197</v>
      </c>
      <c r="H163" s="282" t="s">
        <v>403</v>
      </c>
      <c r="I163" s="272" t="s">
        <v>244</v>
      </c>
      <c r="J163" s="273">
        <v>1.0</v>
      </c>
      <c r="K163" s="272" t="s">
        <v>196</v>
      </c>
      <c r="L163" s="269">
        <v>5500.0</v>
      </c>
      <c r="M163" s="276">
        <v>5500.0</v>
      </c>
    </row>
    <row r="164">
      <c r="A164" s="264">
        <v>45809.0</v>
      </c>
      <c r="B164" s="265"/>
      <c r="C164" s="266"/>
      <c r="D164" s="266"/>
      <c r="E164" s="266"/>
      <c r="F164" s="266"/>
      <c r="G164" s="266" t="s">
        <v>193</v>
      </c>
      <c r="H164" s="266" t="s">
        <v>194</v>
      </c>
      <c r="I164" s="266" t="s">
        <v>195</v>
      </c>
      <c r="J164" s="268">
        <v>1.0</v>
      </c>
      <c r="K164" s="266" t="s">
        <v>196</v>
      </c>
      <c r="L164" s="269">
        <v>1400.0</v>
      </c>
      <c r="M164" s="268">
        <v>0.0</v>
      </c>
    </row>
    <row r="165">
      <c r="A165" s="264">
        <v>45809.0</v>
      </c>
      <c r="B165" s="265"/>
      <c r="C165" s="266"/>
      <c r="D165" s="266"/>
      <c r="E165" s="266"/>
      <c r="F165" s="266"/>
      <c r="G165" s="266" t="s">
        <v>193</v>
      </c>
      <c r="H165" s="266" t="s">
        <v>248</v>
      </c>
      <c r="I165" s="266" t="s">
        <v>249</v>
      </c>
      <c r="J165" s="268">
        <v>1.0</v>
      </c>
      <c r="K165" s="266" t="s">
        <v>196</v>
      </c>
      <c r="L165" s="269">
        <v>1400.0</v>
      </c>
      <c r="M165" s="268">
        <v>0.0</v>
      </c>
    </row>
    <row r="166">
      <c r="A166" s="264">
        <v>45809.0</v>
      </c>
      <c r="B166" s="283"/>
      <c r="C166" s="284"/>
      <c r="D166" s="284"/>
      <c r="E166" s="284"/>
      <c r="F166" s="284"/>
      <c r="G166" s="284" t="s">
        <v>242</v>
      </c>
      <c r="H166" s="284" t="s">
        <v>198</v>
      </c>
      <c r="I166" s="284" t="s">
        <v>199</v>
      </c>
      <c r="J166" s="286">
        <v>1.0</v>
      </c>
      <c r="K166" s="284" t="s">
        <v>196</v>
      </c>
      <c r="L166" s="269">
        <v>5000.0</v>
      </c>
      <c r="M166" s="287">
        <v>5000.0</v>
      </c>
    </row>
    <row r="167">
      <c r="A167" s="264">
        <v>45809.0</v>
      </c>
      <c r="B167" s="265">
        <v>45838.0</v>
      </c>
      <c r="C167" s="266" t="s">
        <v>404</v>
      </c>
      <c r="D167" s="266" t="s">
        <v>405</v>
      </c>
      <c r="E167" s="267">
        <v>45838.0</v>
      </c>
      <c r="F167" s="266" t="s">
        <v>406</v>
      </c>
      <c r="G167" s="266" t="s">
        <v>193</v>
      </c>
      <c r="H167" s="266" t="s">
        <v>248</v>
      </c>
      <c r="I167" s="266" t="s">
        <v>249</v>
      </c>
      <c r="J167" s="268">
        <v>2.0</v>
      </c>
      <c r="K167" s="266" t="s">
        <v>196</v>
      </c>
      <c r="L167" s="269">
        <v>1500.0</v>
      </c>
      <c r="M167" s="270">
        <v>3000.0</v>
      </c>
    </row>
    <row r="168">
      <c r="A168" s="264">
        <v>45809.0</v>
      </c>
      <c r="B168" s="271"/>
      <c r="C168" s="272"/>
      <c r="D168" s="272"/>
      <c r="E168" s="272"/>
      <c r="F168" s="272"/>
      <c r="G168" s="272" t="s">
        <v>197</v>
      </c>
      <c r="H168" s="272" t="s">
        <v>198</v>
      </c>
      <c r="I168" s="272" t="s">
        <v>199</v>
      </c>
      <c r="J168" s="273">
        <v>1.0</v>
      </c>
      <c r="K168" s="272" t="s">
        <v>196</v>
      </c>
      <c r="L168" s="274">
        <v>600.0</v>
      </c>
      <c r="M168" s="273">
        <v>600.0</v>
      </c>
    </row>
    <row r="169">
      <c r="A169" s="264">
        <v>45809.0</v>
      </c>
      <c r="B169" s="277">
        <v>45835.0</v>
      </c>
      <c r="C169" s="278" t="s">
        <v>407</v>
      </c>
      <c r="D169" s="278" t="s">
        <v>408</v>
      </c>
      <c r="E169" s="279">
        <v>45835.0</v>
      </c>
      <c r="F169" s="278" t="s">
        <v>409</v>
      </c>
      <c r="G169" s="278" t="s">
        <v>214</v>
      </c>
      <c r="H169" s="278" t="s">
        <v>410</v>
      </c>
      <c r="I169" s="278" t="s">
        <v>411</v>
      </c>
      <c r="J169" s="280">
        <v>1.0</v>
      </c>
      <c r="K169" s="278" t="s">
        <v>196</v>
      </c>
      <c r="L169" s="269">
        <v>25153.7</v>
      </c>
      <c r="M169" s="281">
        <v>23896.02</v>
      </c>
    </row>
    <row r="170">
      <c r="A170" s="264">
        <v>45809.0</v>
      </c>
      <c r="B170" s="271"/>
      <c r="C170" s="272"/>
      <c r="D170" s="272"/>
      <c r="E170" s="272"/>
      <c r="F170" s="272"/>
      <c r="G170" s="272" t="s">
        <v>197</v>
      </c>
      <c r="H170" s="272" t="s">
        <v>198</v>
      </c>
      <c r="I170" s="272" t="s">
        <v>199</v>
      </c>
      <c r="J170" s="273">
        <v>1.0</v>
      </c>
      <c r="K170" s="272" t="s">
        <v>196</v>
      </c>
      <c r="L170" s="274">
        <v>500.0</v>
      </c>
      <c r="M170" s="273">
        <v>0.0</v>
      </c>
    </row>
    <row r="171">
      <c r="A171" s="264">
        <v>45809.0</v>
      </c>
      <c r="B171" s="265">
        <v>45834.0</v>
      </c>
      <c r="C171" s="266" t="s">
        <v>412</v>
      </c>
      <c r="D171" s="266" t="s">
        <v>413</v>
      </c>
      <c r="E171" s="267">
        <v>45834.0</v>
      </c>
      <c r="F171" s="266" t="s">
        <v>414</v>
      </c>
      <c r="G171" s="266" t="s">
        <v>193</v>
      </c>
      <c r="H171" s="266" t="s">
        <v>194</v>
      </c>
      <c r="I171" s="266" t="s">
        <v>195</v>
      </c>
      <c r="J171" s="268">
        <v>3.0</v>
      </c>
      <c r="K171" s="266" t="s">
        <v>196</v>
      </c>
      <c r="L171" s="269">
        <v>1460.0</v>
      </c>
      <c r="M171" s="270">
        <v>4380.0</v>
      </c>
    </row>
    <row r="172">
      <c r="A172" s="264">
        <v>45809.0</v>
      </c>
      <c r="B172" s="271"/>
      <c r="C172" s="272"/>
      <c r="D172" s="272"/>
      <c r="E172" s="272"/>
      <c r="F172" s="272"/>
      <c r="G172" s="272" t="s">
        <v>197</v>
      </c>
      <c r="H172" s="272" t="s">
        <v>198</v>
      </c>
      <c r="I172" s="272" t="s">
        <v>199</v>
      </c>
      <c r="J172" s="273">
        <v>1.0</v>
      </c>
      <c r="K172" s="272" t="s">
        <v>196</v>
      </c>
      <c r="L172" s="274">
        <v>350.0</v>
      </c>
      <c r="M172" s="273">
        <v>350.0</v>
      </c>
    </row>
    <row r="173">
      <c r="A173" s="264">
        <v>45809.0</v>
      </c>
      <c r="B173" s="277">
        <v>45833.0</v>
      </c>
      <c r="C173" s="278" t="s">
        <v>415</v>
      </c>
      <c r="D173" s="278" t="s">
        <v>416</v>
      </c>
      <c r="E173" s="279">
        <v>45833.0</v>
      </c>
      <c r="F173" s="278" t="s">
        <v>417</v>
      </c>
      <c r="G173" s="278" t="s">
        <v>214</v>
      </c>
      <c r="H173" s="278" t="s">
        <v>215</v>
      </c>
      <c r="I173" s="278" t="s">
        <v>216</v>
      </c>
      <c r="J173" s="280">
        <v>1.0</v>
      </c>
      <c r="K173" s="278" t="s">
        <v>196</v>
      </c>
      <c r="L173" s="269">
        <v>3200.0</v>
      </c>
      <c r="M173" s="281">
        <v>3200.0</v>
      </c>
    </row>
    <row r="174">
      <c r="A174" s="264">
        <v>45809.0</v>
      </c>
      <c r="B174" s="277"/>
      <c r="C174" s="278"/>
      <c r="D174" s="278"/>
      <c r="E174" s="278"/>
      <c r="F174" s="278"/>
      <c r="G174" s="278" t="s">
        <v>214</v>
      </c>
      <c r="H174" s="278" t="s">
        <v>215</v>
      </c>
      <c r="I174" s="278" t="s">
        <v>216</v>
      </c>
      <c r="J174" s="280">
        <v>1.0</v>
      </c>
      <c r="K174" s="278" t="s">
        <v>196</v>
      </c>
      <c r="L174" s="269">
        <v>3200.0</v>
      </c>
      <c r="M174" s="281">
        <v>3200.0</v>
      </c>
    </row>
    <row r="175">
      <c r="A175" s="264">
        <v>45809.0</v>
      </c>
      <c r="B175" s="277"/>
      <c r="C175" s="278"/>
      <c r="D175" s="278"/>
      <c r="E175" s="278"/>
      <c r="F175" s="278"/>
      <c r="G175" s="278" t="s">
        <v>214</v>
      </c>
      <c r="H175" s="278" t="s">
        <v>215</v>
      </c>
      <c r="I175" s="278" t="s">
        <v>216</v>
      </c>
      <c r="J175" s="280">
        <v>1.0</v>
      </c>
      <c r="K175" s="278" t="s">
        <v>196</v>
      </c>
      <c r="L175" s="269">
        <v>3400.0</v>
      </c>
      <c r="M175" s="281">
        <v>3400.0</v>
      </c>
    </row>
    <row r="176">
      <c r="A176" s="264">
        <v>45809.0</v>
      </c>
      <c r="B176" s="277"/>
      <c r="C176" s="278"/>
      <c r="D176" s="278"/>
      <c r="E176" s="278"/>
      <c r="F176" s="278"/>
      <c r="G176" s="278" t="s">
        <v>214</v>
      </c>
      <c r="H176" s="278" t="s">
        <v>215</v>
      </c>
      <c r="I176" s="278" t="s">
        <v>216</v>
      </c>
      <c r="J176" s="280">
        <v>1.0</v>
      </c>
      <c r="K176" s="278" t="s">
        <v>196</v>
      </c>
      <c r="L176" s="269">
        <v>3400.0</v>
      </c>
      <c r="M176" s="281">
        <v>3400.0</v>
      </c>
    </row>
    <row r="177">
      <c r="A177" s="264">
        <v>45809.0</v>
      </c>
      <c r="B177" s="271"/>
      <c r="C177" s="272"/>
      <c r="D177" s="272"/>
      <c r="E177" s="272"/>
      <c r="F177" s="272"/>
      <c r="G177" s="272" t="s">
        <v>197</v>
      </c>
      <c r="H177" s="272" t="s">
        <v>335</v>
      </c>
      <c r="I177" s="272" t="s">
        <v>336</v>
      </c>
      <c r="J177" s="273">
        <v>1.0</v>
      </c>
      <c r="K177" s="272" t="s">
        <v>196</v>
      </c>
      <c r="L177" s="269">
        <v>1000.0</v>
      </c>
      <c r="M177" s="276">
        <v>1000.0</v>
      </c>
    </row>
    <row r="178">
      <c r="A178" s="264">
        <v>45809.0</v>
      </c>
      <c r="B178" s="271"/>
      <c r="C178" s="272"/>
      <c r="D178" s="272"/>
      <c r="E178" s="272"/>
      <c r="F178" s="272"/>
      <c r="G178" s="272" t="s">
        <v>197</v>
      </c>
      <c r="H178" s="272" t="s">
        <v>335</v>
      </c>
      <c r="I178" s="272" t="s">
        <v>336</v>
      </c>
      <c r="J178" s="273">
        <v>1.0</v>
      </c>
      <c r="K178" s="272" t="s">
        <v>196</v>
      </c>
      <c r="L178" s="274">
        <v>800.0</v>
      </c>
      <c r="M178" s="273">
        <v>800.0</v>
      </c>
    </row>
    <row r="179">
      <c r="A179" s="264">
        <v>45809.0</v>
      </c>
      <c r="B179" s="265">
        <v>45833.0</v>
      </c>
      <c r="C179" s="266" t="s">
        <v>319</v>
      </c>
      <c r="D179" s="266" t="s">
        <v>320</v>
      </c>
      <c r="E179" s="267">
        <v>45833.0</v>
      </c>
      <c r="F179" s="266" t="s">
        <v>418</v>
      </c>
      <c r="G179" s="266" t="s">
        <v>193</v>
      </c>
      <c r="H179" s="266" t="s">
        <v>194</v>
      </c>
      <c r="I179" s="266" t="s">
        <v>195</v>
      </c>
      <c r="J179" s="268">
        <v>1.0</v>
      </c>
      <c r="K179" s="266" t="s">
        <v>196</v>
      </c>
      <c r="L179" s="269">
        <v>1200.0</v>
      </c>
      <c r="M179" s="270">
        <v>1200.0</v>
      </c>
    </row>
    <row r="180">
      <c r="A180" s="264">
        <v>45809.0</v>
      </c>
      <c r="B180" s="265"/>
      <c r="C180" s="266"/>
      <c r="D180" s="266"/>
      <c r="E180" s="266"/>
      <c r="F180" s="266"/>
      <c r="G180" s="266" t="s">
        <v>193</v>
      </c>
      <c r="H180" s="266" t="s">
        <v>419</v>
      </c>
      <c r="I180" s="266" t="s">
        <v>249</v>
      </c>
      <c r="J180" s="268">
        <v>1.0</v>
      </c>
      <c r="K180" s="266" t="s">
        <v>196</v>
      </c>
      <c r="L180" s="269">
        <v>1200.0</v>
      </c>
      <c r="M180" s="270">
        <v>1200.0</v>
      </c>
    </row>
    <row r="181">
      <c r="A181" s="264">
        <v>45809.0</v>
      </c>
      <c r="B181" s="265"/>
      <c r="C181" s="266"/>
      <c r="D181" s="266"/>
      <c r="E181" s="266"/>
      <c r="F181" s="266"/>
      <c r="G181" s="266" t="s">
        <v>193</v>
      </c>
      <c r="H181" s="266" t="s">
        <v>248</v>
      </c>
      <c r="I181" s="266" t="s">
        <v>249</v>
      </c>
      <c r="J181" s="268">
        <v>1.0</v>
      </c>
      <c r="K181" s="266" t="s">
        <v>196</v>
      </c>
      <c r="L181" s="269">
        <v>1200.0</v>
      </c>
      <c r="M181" s="270">
        <v>1200.0</v>
      </c>
    </row>
    <row r="182">
      <c r="A182" s="264">
        <v>45809.0</v>
      </c>
      <c r="B182" s="265"/>
      <c r="C182" s="266"/>
      <c r="D182" s="266"/>
      <c r="E182" s="266"/>
      <c r="F182" s="266"/>
      <c r="G182" s="266" t="s">
        <v>193</v>
      </c>
      <c r="H182" s="266" t="s">
        <v>420</v>
      </c>
      <c r="I182" s="266" t="s">
        <v>249</v>
      </c>
      <c r="J182" s="268">
        <v>1.0</v>
      </c>
      <c r="K182" s="266" t="s">
        <v>196</v>
      </c>
      <c r="L182" s="269">
        <v>1200.0</v>
      </c>
      <c r="M182" s="270">
        <v>1200.0</v>
      </c>
    </row>
    <row r="183">
      <c r="A183" s="264">
        <v>45809.0</v>
      </c>
      <c r="B183" s="265"/>
      <c r="C183" s="266"/>
      <c r="D183" s="266"/>
      <c r="E183" s="266"/>
      <c r="F183" s="266"/>
      <c r="G183" s="266" t="s">
        <v>193</v>
      </c>
      <c r="H183" s="266" t="s">
        <v>421</v>
      </c>
      <c r="I183" s="266" t="s">
        <v>249</v>
      </c>
      <c r="J183" s="268">
        <v>1.0</v>
      </c>
      <c r="K183" s="266" t="s">
        <v>196</v>
      </c>
      <c r="L183" s="269">
        <v>1200.0</v>
      </c>
      <c r="M183" s="270">
        <v>1200.0</v>
      </c>
    </row>
    <row r="184">
      <c r="A184" s="264">
        <v>45809.0</v>
      </c>
      <c r="B184" s="271"/>
      <c r="C184" s="272"/>
      <c r="D184" s="272"/>
      <c r="E184" s="272"/>
      <c r="F184" s="272"/>
      <c r="G184" s="272" t="s">
        <v>197</v>
      </c>
      <c r="H184" s="272" t="s">
        <v>198</v>
      </c>
      <c r="I184" s="272" t="s">
        <v>199</v>
      </c>
      <c r="J184" s="273">
        <v>1.0</v>
      </c>
      <c r="K184" s="272" t="s">
        <v>196</v>
      </c>
      <c r="L184" s="274">
        <v>500.0</v>
      </c>
      <c r="M184" s="273">
        <v>500.0</v>
      </c>
    </row>
    <row r="185">
      <c r="A185" s="264">
        <v>45809.0</v>
      </c>
      <c r="B185" s="271">
        <v>45833.0</v>
      </c>
      <c r="C185" s="272" t="s">
        <v>422</v>
      </c>
      <c r="D185" s="272" t="s">
        <v>423</v>
      </c>
      <c r="E185" s="275">
        <v>45833.0</v>
      </c>
      <c r="F185" s="272" t="s">
        <v>424</v>
      </c>
      <c r="G185" s="288" t="s">
        <v>197</v>
      </c>
      <c r="H185" s="272" t="s">
        <v>259</v>
      </c>
      <c r="I185" s="272" t="s">
        <v>210</v>
      </c>
      <c r="J185" s="273">
        <v>1.0</v>
      </c>
      <c r="K185" s="272" t="s">
        <v>196</v>
      </c>
      <c r="L185" s="269">
        <v>94300.0</v>
      </c>
      <c r="M185" s="276">
        <v>87227.5</v>
      </c>
    </row>
    <row r="186">
      <c r="A186" s="264">
        <v>45809.0</v>
      </c>
      <c r="B186" s="271"/>
      <c r="C186" s="272"/>
      <c r="D186" s="272"/>
      <c r="E186" s="272"/>
      <c r="F186" s="272"/>
      <c r="G186" s="272" t="s">
        <v>197</v>
      </c>
      <c r="H186" s="272"/>
      <c r="I186" s="272"/>
      <c r="J186" s="273">
        <v>0.0</v>
      </c>
      <c r="K186" s="272"/>
      <c r="L186" s="274">
        <v>0.0</v>
      </c>
      <c r="M186" s="273">
        <v>0.0</v>
      </c>
    </row>
    <row r="187">
      <c r="A187" s="264">
        <v>45809.0</v>
      </c>
      <c r="B187" s="271">
        <v>45832.0</v>
      </c>
      <c r="C187" s="272" t="s">
        <v>422</v>
      </c>
      <c r="D187" s="272" t="s">
        <v>425</v>
      </c>
      <c r="E187" s="275">
        <v>45832.0</v>
      </c>
      <c r="F187" s="272" t="s">
        <v>426</v>
      </c>
      <c r="G187" s="272" t="s">
        <v>197</v>
      </c>
      <c r="H187" s="272" t="s">
        <v>427</v>
      </c>
      <c r="I187" s="272" t="s">
        <v>204</v>
      </c>
      <c r="J187" s="273">
        <v>1.0</v>
      </c>
      <c r="K187" s="272" t="s">
        <v>196</v>
      </c>
      <c r="L187" s="269">
        <v>5500.0</v>
      </c>
      <c r="M187" s="276">
        <v>5500.0</v>
      </c>
    </row>
    <row r="188">
      <c r="A188" s="264">
        <v>45809.0</v>
      </c>
      <c r="B188" s="271"/>
      <c r="C188" s="272"/>
      <c r="D188" s="272"/>
      <c r="E188" s="272"/>
      <c r="F188" s="272"/>
      <c r="G188" s="272" t="s">
        <v>197</v>
      </c>
      <c r="H188" s="272" t="s">
        <v>428</v>
      </c>
      <c r="I188" s="272" t="s">
        <v>204</v>
      </c>
      <c r="J188" s="273">
        <v>1.0</v>
      </c>
      <c r="K188" s="272" t="s">
        <v>196</v>
      </c>
      <c r="L188" s="269">
        <v>2999.0</v>
      </c>
      <c r="M188" s="276">
        <v>2999.0</v>
      </c>
    </row>
    <row r="189">
      <c r="A189" s="264">
        <v>45809.0</v>
      </c>
      <c r="B189" s="271"/>
      <c r="C189" s="272"/>
      <c r="D189" s="272"/>
      <c r="E189" s="272"/>
      <c r="F189" s="272"/>
      <c r="G189" s="272" t="s">
        <v>197</v>
      </c>
      <c r="H189" s="272" t="s">
        <v>429</v>
      </c>
      <c r="I189" s="272" t="s">
        <v>204</v>
      </c>
      <c r="J189" s="273">
        <v>1.0</v>
      </c>
      <c r="K189" s="272" t="s">
        <v>196</v>
      </c>
      <c r="L189" s="274">
        <v>600.0</v>
      </c>
      <c r="M189" s="273">
        <v>600.0</v>
      </c>
    </row>
    <row r="190">
      <c r="A190" s="264">
        <v>45809.0</v>
      </c>
      <c r="B190" s="271"/>
      <c r="C190" s="272"/>
      <c r="D190" s="272"/>
      <c r="E190" s="272"/>
      <c r="F190" s="272"/>
      <c r="G190" s="272" t="s">
        <v>197</v>
      </c>
      <c r="H190" s="272" t="s">
        <v>227</v>
      </c>
      <c r="I190" s="272" t="s">
        <v>210</v>
      </c>
      <c r="J190" s="273">
        <v>1.0</v>
      </c>
      <c r="K190" s="272" t="s">
        <v>196</v>
      </c>
      <c r="L190" s="269">
        <v>1500.0</v>
      </c>
      <c r="M190" s="276">
        <v>1500.0</v>
      </c>
    </row>
    <row r="191">
      <c r="A191" s="264">
        <v>45809.0</v>
      </c>
      <c r="B191" s="271">
        <v>45831.0</v>
      </c>
      <c r="C191" s="272" t="s">
        <v>372</v>
      </c>
      <c r="D191" s="272" t="s">
        <v>373</v>
      </c>
      <c r="E191" s="275">
        <v>45831.0</v>
      </c>
      <c r="F191" s="272" t="s">
        <v>430</v>
      </c>
      <c r="G191" s="272" t="s">
        <v>197</v>
      </c>
      <c r="H191" s="272" t="s">
        <v>256</v>
      </c>
      <c r="I191" s="272" t="s">
        <v>204</v>
      </c>
      <c r="J191" s="273">
        <v>1.0</v>
      </c>
      <c r="K191" s="272" t="s">
        <v>196</v>
      </c>
      <c r="L191" s="269">
        <v>1200.0</v>
      </c>
      <c r="M191" s="276">
        <v>1200.0</v>
      </c>
    </row>
    <row r="192">
      <c r="A192" s="264">
        <v>45809.0</v>
      </c>
      <c r="B192" s="271"/>
      <c r="C192" s="272"/>
      <c r="D192" s="272"/>
      <c r="E192" s="272"/>
      <c r="F192" s="272"/>
      <c r="G192" s="272" t="s">
        <v>197</v>
      </c>
      <c r="H192" s="272" t="s">
        <v>198</v>
      </c>
      <c r="I192" s="272" t="s">
        <v>199</v>
      </c>
      <c r="J192" s="273">
        <v>1.0</v>
      </c>
      <c r="K192" s="272" t="s">
        <v>196</v>
      </c>
      <c r="L192" s="274">
        <v>100.0</v>
      </c>
      <c r="M192" s="273">
        <v>100.0</v>
      </c>
    </row>
    <row r="193">
      <c r="A193" s="264">
        <v>45809.0</v>
      </c>
      <c r="B193" s="277">
        <v>45831.0</v>
      </c>
      <c r="C193" s="278" t="s">
        <v>431</v>
      </c>
      <c r="D193" s="278" t="s">
        <v>432</v>
      </c>
      <c r="E193" s="279">
        <v>45831.0</v>
      </c>
      <c r="F193" s="278" t="s">
        <v>433</v>
      </c>
      <c r="G193" s="278" t="s">
        <v>214</v>
      </c>
      <c r="H193" s="278" t="s">
        <v>410</v>
      </c>
      <c r="I193" s="278" t="s">
        <v>411</v>
      </c>
      <c r="J193" s="280">
        <v>1.0</v>
      </c>
      <c r="K193" s="278" t="s">
        <v>196</v>
      </c>
      <c r="L193" s="269">
        <v>12296.51</v>
      </c>
      <c r="M193" s="281">
        <v>12296.51</v>
      </c>
    </row>
    <row r="194">
      <c r="A194" s="264">
        <v>45809.0</v>
      </c>
      <c r="B194" s="271"/>
      <c r="C194" s="272"/>
      <c r="D194" s="272"/>
      <c r="E194" s="272"/>
      <c r="F194" s="272"/>
      <c r="G194" s="272" t="s">
        <v>197</v>
      </c>
      <c r="H194" s="272" t="s">
        <v>198</v>
      </c>
      <c r="I194" s="272" t="s">
        <v>199</v>
      </c>
      <c r="J194" s="273">
        <v>1.0</v>
      </c>
      <c r="K194" s="272" t="s">
        <v>196</v>
      </c>
      <c r="L194" s="274">
        <v>350.0</v>
      </c>
      <c r="M194" s="273">
        <v>350.0</v>
      </c>
    </row>
    <row r="195">
      <c r="A195" s="264">
        <v>45809.0</v>
      </c>
      <c r="B195" s="271">
        <v>45829.0</v>
      </c>
      <c r="C195" s="272" t="s">
        <v>309</v>
      </c>
      <c r="D195" s="272" t="s">
        <v>310</v>
      </c>
      <c r="E195" s="275">
        <v>45829.0</v>
      </c>
      <c r="F195" s="272" t="s">
        <v>434</v>
      </c>
      <c r="G195" s="272" t="s">
        <v>197</v>
      </c>
      <c r="H195" s="272"/>
      <c r="I195" s="272"/>
      <c r="J195" s="273">
        <v>1.0</v>
      </c>
      <c r="K195" s="272"/>
      <c r="L195" s="274">
        <v>406.74</v>
      </c>
      <c r="M195" s="273">
        <v>0.0</v>
      </c>
    </row>
    <row r="196">
      <c r="A196" s="264">
        <v>45809.0</v>
      </c>
      <c r="B196" s="271"/>
      <c r="C196" s="272"/>
      <c r="D196" s="272"/>
      <c r="E196" s="272"/>
      <c r="F196" s="272"/>
      <c r="G196" s="272" t="s">
        <v>197</v>
      </c>
      <c r="H196" s="272"/>
      <c r="I196" s="272"/>
      <c r="J196" s="273">
        <v>1.0</v>
      </c>
      <c r="K196" s="272"/>
      <c r="L196" s="274">
        <v>447.84</v>
      </c>
      <c r="M196" s="273">
        <v>0.0</v>
      </c>
    </row>
    <row r="197">
      <c r="A197" s="264">
        <v>45809.0</v>
      </c>
      <c r="B197" s="271"/>
      <c r="C197" s="272"/>
      <c r="D197" s="272"/>
      <c r="E197" s="272"/>
      <c r="F197" s="272"/>
      <c r="G197" s="272" t="s">
        <v>197</v>
      </c>
      <c r="H197" s="272"/>
      <c r="I197" s="272"/>
      <c r="J197" s="273">
        <v>1.0</v>
      </c>
      <c r="K197" s="272"/>
      <c r="L197" s="274">
        <v>104.98</v>
      </c>
      <c r="M197" s="273">
        <v>0.0</v>
      </c>
    </row>
    <row r="198">
      <c r="A198" s="264">
        <v>45809.0</v>
      </c>
      <c r="B198" s="271"/>
      <c r="C198" s="272"/>
      <c r="D198" s="272"/>
      <c r="E198" s="272"/>
      <c r="F198" s="272"/>
      <c r="G198" s="272" t="s">
        <v>197</v>
      </c>
      <c r="H198" s="272"/>
      <c r="I198" s="272"/>
      <c r="J198" s="273">
        <v>1.0</v>
      </c>
      <c r="K198" s="272"/>
      <c r="L198" s="274">
        <v>357.08</v>
      </c>
      <c r="M198" s="273">
        <v>0.0</v>
      </c>
    </row>
    <row r="199">
      <c r="A199" s="264">
        <v>45809.0</v>
      </c>
      <c r="B199" s="271"/>
      <c r="C199" s="272"/>
      <c r="D199" s="272"/>
      <c r="E199" s="272"/>
      <c r="F199" s="272"/>
      <c r="G199" s="272" t="s">
        <v>197</v>
      </c>
      <c r="H199" s="272"/>
      <c r="I199" s="272"/>
      <c r="J199" s="273">
        <v>1.0</v>
      </c>
      <c r="K199" s="272"/>
      <c r="L199" s="274">
        <v>291.5</v>
      </c>
      <c r="M199" s="273">
        <v>0.0</v>
      </c>
    </row>
    <row r="200">
      <c r="A200" s="264">
        <v>45809.0</v>
      </c>
      <c r="B200" s="271"/>
      <c r="C200" s="272"/>
      <c r="D200" s="272"/>
      <c r="E200" s="272"/>
      <c r="F200" s="272"/>
      <c r="G200" s="272" t="s">
        <v>197</v>
      </c>
      <c r="H200" s="272"/>
      <c r="I200" s="272"/>
      <c r="J200" s="273">
        <v>1.0</v>
      </c>
      <c r="K200" s="272"/>
      <c r="L200" s="274">
        <v>130.45</v>
      </c>
      <c r="M200" s="273">
        <v>0.0</v>
      </c>
    </row>
    <row r="201">
      <c r="A201" s="264">
        <v>45809.0</v>
      </c>
      <c r="B201" s="271"/>
      <c r="C201" s="272"/>
      <c r="D201" s="272"/>
      <c r="E201" s="272"/>
      <c r="F201" s="272"/>
      <c r="G201" s="272" t="s">
        <v>197</v>
      </c>
      <c r="H201" s="272"/>
      <c r="I201" s="272"/>
      <c r="J201" s="273">
        <v>1.0</v>
      </c>
      <c r="K201" s="272"/>
      <c r="L201" s="274">
        <v>127.76</v>
      </c>
      <c r="M201" s="273">
        <v>0.0</v>
      </c>
    </row>
    <row r="202">
      <c r="A202" s="264">
        <v>45809.0</v>
      </c>
      <c r="B202" s="271"/>
      <c r="C202" s="272"/>
      <c r="D202" s="272"/>
      <c r="E202" s="272"/>
      <c r="F202" s="272"/>
      <c r="G202" s="272" t="s">
        <v>197</v>
      </c>
      <c r="H202" s="272"/>
      <c r="I202" s="272"/>
      <c r="J202" s="273">
        <v>1.0</v>
      </c>
      <c r="K202" s="272"/>
      <c r="L202" s="274">
        <v>333.51</v>
      </c>
      <c r="M202" s="273">
        <v>0.0</v>
      </c>
    </row>
    <row r="203">
      <c r="A203" s="264">
        <v>45809.0</v>
      </c>
      <c r="B203" s="271"/>
      <c r="C203" s="272"/>
      <c r="D203" s="272"/>
      <c r="E203" s="272"/>
      <c r="F203" s="272"/>
      <c r="G203" s="272" t="s">
        <v>197</v>
      </c>
      <c r="H203" s="272"/>
      <c r="I203" s="272"/>
      <c r="J203" s="273">
        <v>1.0</v>
      </c>
      <c r="K203" s="272"/>
      <c r="L203" s="274">
        <v>367.23</v>
      </c>
      <c r="M203" s="273">
        <v>0.0</v>
      </c>
    </row>
    <row r="204">
      <c r="A204" s="264">
        <v>45809.0</v>
      </c>
      <c r="B204" s="271"/>
      <c r="C204" s="272"/>
      <c r="D204" s="272"/>
      <c r="E204" s="272"/>
      <c r="F204" s="272"/>
      <c r="G204" s="272" t="s">
        <v>197</v>
      </c>
      <c r="H204" s="272"/>
      <c r="I204" s="272"/>
      <c r="J204" s="273">
        <v>1.0</v>
      </c>
      <c r="K204" s="272"/>
      <c r="L204" s="274">
        <v>334.43</v>
      </c>
      <c r="M204" s="273">
        <v>0.0</v>
      </c>
    </row>
    <row r="205">
      <c r="A205" s="264">
        <v>45809.0</v>
      </c>
      <c r="B205" s="271"/>
      <c r="C205" s="272"/>
      <c r="D205" s="272"/>
      <c r="E205" s="272"/>
      <c r="F205" s="272"/>
      <c r="G205" s="272" t="s">
        <v>197</v>
      </c>
      <c r="H205" s="272"/>
      <c r="I205" s="272"/>
      <c r="J205" s="273">
        <v>1.0</v>
      </c>
      <c r="K205" s="272"/>
      <c r="L205" s="274">
        <v>130.45</v>
      </c>
      <c r="M205" s="273">
        <v>0.0</v>
      </c>
    </row>
    <row r="206">
      <c r="A206" s="264">
        <v>45809.0</v>
      </c>
      <c r="B206" s="271"/>
      <c r="C206" s="272"/>
      <c r="D206" s="272"/>
      <c r="E206" s="272"/>
      <c r="F206" s="272"/>
      <c r="G206" s="272" t="s">
        <v>197</v>
      </c>
      <c r="H206" s="272"/>
      <c r="I206" s="272"/>
      <c r="J206" s="273">
        <v>1.0</v>
      </c>
      <c r="K206" s="272"/>
      <c r="L206" s="274">
        <v>144.9</v>
      </c>
      <c r="M206" s="273">
        <v>0.0</v>
      </c>
    </row>
    <row r="207">
      <c r="A207" s="264">
        <v>45809.0</v>
      </c>
      <c r="B207" s="271"/>
      <c r="C207" s="272"/>
      <c r="D207" s="272"/>
      <c r="E207" s="272"/>
      <c r="F207" s="272"/>
      <c r="G207" s="272" t="s">
        <v>197</v>
      </c>
      <c r="H207" s="272" t="s">
        <v>198</v>
      </c>
      <c r="I207" s="272" t="s">
        <v>199</v>
      </c>
      <c r="J207" s="273">
        <v>1.0</v>
      </c>
      <c r="K207" s="272" t="s">
        <v>196</v>
      </c>
      <c r="L207" s="274">
        <v>250.0</v>
      </c>
      <c r="M207" s="273">
        <v>0.0</v>
      </c>
    </row>
    <row r="208">
      <c r="A208" s="264">
        <v>45809.0</v>
      </c>
      <c r="B208" s="277">
        <v>45828.0</v>
      </c>
      <c r="C208" s="278" t="s">
        <v>435</v>
      </c>
      <c r="D208" s="278" t="s">
        <v>436</v>
      </c>
      <c r="E208" s="279">
        <v>45828.0</v>
      </c>
      <c r="F208" s="278" t="s">
        <v>437</v>
      </c>
      <c r="G208" s="278" t="s">
        <v>214</v>
      </c>
      <c r="H208" s="278" t="s">
        <v>215</v>
      </c>
      <c r="I208" s="278" t="s">
        <v>216</v>
      </c>
      <c r="J208" s="280">
        <v>2.0</v>
      </c>
      <c r="K208" s="278" t="s">
        <v>196</v>
      </c>
      <c r="L208" s="274">
        <v>237.25</v>
      </c>
      <c r="M208" s="280">
        <v>474.5</v>
      </c>
    </row>
    <row r="209">
      <c r="A209" s="264">
        <v>45809.0</v>
      </c>
      <c r="B209" s="271">
        <v>45828.0</v>
      </c>
      <c r="C209" s="272" t="s">
        <v>250</v>
      </c>
      <c r="D209" s="272" t="s">
        <v>251</v>
      </c>
      <c r="E209" s="275">
        <v>45828.0</v>
      </c>
      <c r="F209" s="272" t="s">
        <v>438</v>
      </c>
      <c r="G209" s="272" t="s">
        <v>197</v>
      </c>
      <c r="H209" s="272" t="s">
        <v>439</v>
      </c>
      <c r="I209" s="272" t="s">
        <v>204</v>
      </c>
      <c r="J209" s="273">
        <v>2.0</v>
      </c>
      <c r="K209" s="272" t="s">
        <v>196</v>
      </c>
      <c r="L209" s="274">
        <v>300.0</v>
      </c>
      <c r="M209" s="273">
        <v>600.0</v>
      </c>
    </row>
    <row r="210">
      <c r="A210" s="264">
        <v>45809.0</v>
      </c>
      <c r="B210" s="271"/>
      <c r="C210" s="272"/>
      <c r="D210" s="272"/>
      <c r="E210" s="272"/>
      <c r="F210" s="272"/>
      <c r="G210" s="272" t="s">
        <v>197</v>
      </c>
      <c r="H210" s="272" t="s">
        <v>198</v>
      </c>
      <c r="I210" s="272" t="s">
        <v>199</v>
      </c>
      <c r="J210" s="273">
        <v>1.0</v>
      </c>
      <c r="K210" s="272" t="s">
        <v>196</v>
      </c>
      <c r="L210" s="274">
        <v>350.0</v>
      </c>
      <c r="M210" s="273">
        <v>350.0</v>
      </c>
    </row>
    <row r="211">
      <c r="A211" s="264">
        <v>45809.0</v>
      </c>
      <c r="B211" s="265">
        <v>45822.0</v>
      </c>
      <c r="C211" s="266" t="s">
        <v>245</v>
      </c>
      <c r="D211" s="266" t="s">
        <v>246</v>
      </c>
      <c r="E211" s="267">
        <v>45822.0</v>
      </c>
      <c r="F211" s="266" t="s">
        <v>440</v>
      </c>
      <c r="G211" s="266" t="s">
        <v>193</v>
      </c>
      <c r="H211" s="266" t="s">
        <v>248</v>
      </c>
      <c r="I211" s="266" t="s">
        <v>249</v>
      </c>
      <c r="J211" s="268">
        <v>2.0</v>
      </c>
      <c r="K211" s="266" t="s">
        <v>196</v>
      </c>
      <c r="L211" s="269">
        <v>1400.0</v>
      </c>
      <c r="M211" s="270">
        <v>2800.0</v>
      </c>
    </row>
    <row r="212">
      <c r="A212" s="264">
        <v>45809.0</v>
      </c>
      <c r="B212" s="271">
        <v>45821.0</v>
      </c>
      <c r="C212" s="272" t="s">
        <v>441</v>
      </c>
      <c r="D212" s="272"/>
      <c r="E212" s="275">
        <v>45821.0</v>
      </c>
      <c r="F212" s="272" t="s">
        <v>442</v>
      </c>
      <c r="G212" s="272" t="s">
        <v>197</v>
      </c>
      <c r="H212" s="272" t="s">
        <v>396</v>
      </c>
      <c r="I212" s="272" t="s">
        <v>275</v>
      </c>
      <c r="J212" s="273">
        <v>1.0</v>
      </c>
      <c r="K212" s="272" t="s">
        <v>196</v>
      </c>
      <c r="L212" s="269">
        <v>36522.17</v>
      </c>
      <c r="M212" s="276">
        <v>36522.17</v>
      </c>
    </row>
    <row r="213">
      <c r="A213" s="264">
        <v>45809.0</v>
      </c>
      <c r="B213" s="271"/>
      <c r="C213" s="272"/>
      <c r="D213" s="272"/>
      <c r="E213" s="272"/>
      <c r="F213" s="272"/>
      <c r="G213" s="272" t="s">
        <v>197</v>
      </c>
      <c r="H213" s="272"/>
      <c r="I213" s="272"/>
      <c r="J213" s="273">
        <v>0.0</v>
      </c>
      <c r="K213" s="272"/>
      <c r="L213" s="274">
        <v>0.0</v>
      </c>
      <c r="M213" s="273">
        <v>0.0</v>
      </c>
    </row>
    <row r="214">
      <c r="A214" s="264">
        <v>45809.0</v>
      </c>
      <c r="B214" s="277">
        <v>45819.0</v>
      </c>
      <c r="C214" s="278" t="s">
        <v>315</v>
      </c>
      <c r="D214" s="278" t="s">
        <v>316</v>
      </c>
      <c r="E214" s="279">
        <v>45819.0</v>
      </c>
      <c r="F214" s="278" t="s">
        <v>443</v>
      </c>
      <c r="G214" s="278" t="s">
        <v>214</v>
      </c>
      <c r="H214" s="278" t="s">
        <v>215</v>
      </c>
      <c r="I214" s="278" t="s">
        <v>216</v>
      </c>
      <c r="J214" s="280">
        <v>2.0</v>
      </c>
      <c r="K214" s="278" t="s">
        <v>196</v>
      </c>
      <c r="L214" s="269">
        <v>5480.56</v>
      </c>
      <c r="M214" s="281">
        <v>10961.12</v>
      </c>
    </row>
    <row r="215">
      <c r="A215" s="264">
        <v>45809.0</v>
      </c>
      <c r="B215" s="283">
        <v>45819.0</v>
      </c>
      <c r="C215" s="284" t="s">
        <v>441</v>
      </c>
      <c r="D215" s="284"/>
      <c r="E215" s="285">
        <v>45819.0</v>
      </c>
      <c r="F215" s="284" t="s">
        <v>444</v>
      </c>
      <c r="G215" s="284" t="s">
        <v>242</v>
      </c>
      <c r="H215" s="284" t="s">
        <v>266</v>
      </c>
      <c r="I215" s="284" t="s">
        <v>204</v>
      </c>
      <c r="J215" s="286">
        <v>1.0</v>
      </c>
      <c r="K215" s="284" t="s">
        <v>196</v>
      </c>
      <c r="L215" s="269">
        <v>60000.0</v>
      </c>
      <c r="M215" s="287">
        <v>55800.0</v>
      </c>
    </row>
    <row r="216">
      <c r="A216" s="264">
        <v>45809.0</v>
      </c>
      <c r="B216" s="265"/>
      <c r="C216" s="266"/>
      <c r="D216" s="266"/>
      <c r="E216" s="266"/>
      <c r="F216" s="266"/>
      <c r="G216" s="266" t="s">
        <v>193</v>
      </c>
      <c r="H216" s="266" t="s">
        <v>194</v>
      </c>
      <c r="I216" s="266" t="s">
        <v>195</v>
      </c>
      <c r="J216" s="268">
        <v>1.0</v>
      </c>
      <c r="K216" s="266" t="s">
        <v>196</v>
      </c>
      <c r="L216" s="269">
        <v>1400.0</v>
      </c>
      <c r="M216" s="268">
        <v>0.0</v>
      </c>
    </row>
    <row r="217">
      <c r="A217" s="264">
        <v>45809.0</v>
      </c>
      <c r="B217" s="265"/>
      <c r="C217" s="266"/>
      <c r="D217" s="266"/>
      <c r="E217" s="266"/>
      <c r="F217" s="266"/>
      <c r="G217" s="266" t="s">
        <v>193</v>
      </c>
      <c r="H217" s="266" t="s">
        <v>445</v>
      </c>
      <c r="I217" s="266" t="s">
        <v>249</v>
      </c>
      <c r="J217" s="268">
        <v>1.0</v>
      </c>
      <c r="K217" s="266" t="s">
        <v>196</v>
      </c>
      <c r="L217" s="269">
        <v>1700.0</v>
      </c>
      <c r="M217" s="270">
        <v>1700.0</v>
      </c>
    </row>
    <row r="218">
      <c r="A218" s="264">
        <v>45809.0</v>
      </c>
      <c r="B218" s="265"/>
      <c r="C218" s="266"/>
      <c r="D218" s="266"/>
      <c r="E218" s="266"/>
      <c r="F218" s="266"/>
      <c r="G218" s="266" t="s">
        <v>193</v>
      </c>
      <c r="H218" s="266" t="s">
        <v>446</v>
      </c>
      <c r="I218" s="266" t="s">
        <v>249</v>
      </c>
      <c r="J218" s="268">
        <v>1.0</v>
      </c>
      <c r="K218" s="266" t="s">
        <v>196</v>
      </c>
      <c r="L218" s="269">
        <v>3700.0</v>
      </c>
      <c r="M218" s="270">
        <v>3700.0</v>
      </c>
    </row>
    <row r="219">
      <c r="A219" s="264">
        <v>45809.0</v>
      </c>
      <c r="B219" s="271">
        <v>45819.0</v>
      </c>
      <c r="C219" s="272" t="s">
        <v>447</v>
      </c>
      <c r="D219" s="272" t="s">
        <v>448</v>
      </c>
      <c r="E219" s="275">
        <v>45819.0</v>
      </c>
      <c r="F219" s="272" t="s">
        <v>449</v>
      </c>
      <c r="G219" s="288" t="s">
        <v>197</v>
      </c>
      <c r="H219" s="272" t="s">
        <v>259</v>
      </c>
      <c r="I219" s="272" t="s">
        <v>210</v>
      </c>
      <c r="J219" s="273">
        <v>1.0</v>
      </c>
      <c r="K219" s="272" t="s">
        <v>196</v>
      </c>
      <c r="L219" s="269">
        <v>59890.0</v>
      </c>
      <c r="M219" s="276">
        <v>53901.0</v>
      </c>
    </row>
    <row r="220">
      <c r="A220" s="264">
        <v>45809.0</v>
      </c>
      <c r="B220" s="271"/>
      <c r="C220" s="272"/>
      <c r="D220" s="272"/>
      <c r="E220" s="272"/>
      <c r="F220" s="272"/>
      <c r="G220" s="272" t="s">
        <v>197</v>
      </c>
      <c r="H220" s="272"/>
      <c r="I220" s="272"/>
      <c r="J220" s="273">
        <v>0.0</v>
      </c>
      <c r="K220" s="272"/>
      <c r="L220" s="274">
        <v>0.0</v>
      </c>
      <c r="M220" s="273">
        <v>0.0</v>
      </c>
    </row>
    <row r="221">
      <c r="A221" s="264">
        <v>45809.0</v>
      </c>
      <c r="B221" s="271"/>
      <c r="C221" s="272"/>
      <c r="D221" s="272"/>
      <c r="E221" s="272"/>
      <c r="F221" s="272"/>
      <c r="G221" s="272" t="s">
        <v>197</v>
      </c>
      <c r="H221" s="272"/>
      <c r="I221" s="272"/>
      <c r="J221" s="273">
        <v>0.0</v>
      </c>
      <c r="K221" s="272"/>
      <c r="L221" s="274">
        <v>0.0</v>
      </c>
      <c r="M221" s="273">
        <v>0.0</v>
      </c>
    </row>
    <row r="222">
      <c r="A222" s="264">
        <v>45809.0</v>
      </c>
      <c r="B222" s="289">
        <v>45817.0</v>
      </c>
      <c r="C222" s="290" t="s">
        <v>450</v>
      </c>
      <c r="D222" s="290" t="s">
        <v>451</v>
      </c>
      <c r="E222" s="291">
        <v>45817.0</v>
      </c>
      <c r="F222" s="290" t="s">
        <v>452</v>
      </c>
      <c r="G222" s="290" t="s">
        <v>273</v>
      </c>
      <c r="H222" s="290" t="s">
        <v>453</v>
      </c>
      <c r="I222" s="290" t="s">
        <v>275</v>
      </c>
      <c r="J222" s="292">
        <v>1.0</v>
      </c>
      <c r="K222" s="290" t="s">
        <v>196</v>
      </c>
      <c r="L222" s="269">
        <v>381355.94</v>
      </c>
      <c r="M222" s="293">
        <v>381355.94</v>
      </c>
    </row>
    <row r="223">
      <c r="A223" s="264">
        <v>45809.0</v>
      </c>
      <c r="B223" s="277">
        <v>45814.0</v>
      </c>
      <c r="C223" s="278" t="s">
        <v>315</v>
      </c>
      <c r="D223" s="278" t="s">
        <v>316</v>
      </c>
      <c r="E223" s="279">
        <v>45814.0</v>
      </c>
      <c r="F223" s="278" t="s">
        <v>454</v>
      </c>
      <c r="G223" s="278" t="s">
        <v>214</v>
      </c>
      <c r="H223" s="278" t="s">
        <v>215</v>
      </c>
      <c r="I223" s="278" t="s">
        <v>216</v>
      </c>
      <c r="J223" s="280">
        <v>1.0</v>
      </c>
      <c r="K223" s="278" t="s">
        <v>196</v>
      </c>
      <c r="L223" s="269">
        <v>6936.17</v>
      </c>
      <c r="M223" s="281">
        <v>6936.17</v>
      </c>
    </row>
    <row r="224">
      <c r="A224" s="264">
        <v>45809.0</v>
      </c>
      <c r="B224" s="271">
        <v>45814.0</v>
      </c>
      <c r="C224" s="272" t="s">
        <v>455</v>
      </c>
      <c r="D224" s="272" t="s">
        <v>280</v>
      </c>
      <c r="E224" s="275">
        <v>45814.0</v>
      </c>
      <c r="F224" s="272" t="s">
        <v>456</v>
      </c>
      <c r="G224" s="272" t="s">
        <v>197</v>
      </c>
      <c r="H224" s="272" t="s">
        <v>457</v>
      </c>
      <c r="I224" s="272" t="s">
        <v>204</v>
      </c>
      <c r="J224" s="273">
        <v>1.0</v>
      </c>
      <c r="K224" s="272" t="s">
        <v>196</v>
      </c>
      <c r="L224" s="269">
        <v>1200.0</v>
      </c>
      <c r="M224" s="276">
        <v>1200.0</v>
      </c>
    </row>
    <row r="225">
      <c r="A225" s="264">
        <v>45809.0</v>
      </c>
      <c r="B225" s="271"/>
      <c r="C225" s="272"/>
      <c r="D225" s="272"/>
      <c r="E225" s="272"/>
      <c r="F225" s="272"/>
      <c r="G225" s="272" t="s">
        <v>197</v>
      </c>
      <c r="H225" s="272" t="s">
        <v>458</v>
      </c>
      <c r="I225" s="272" t="s">
        <v>204</v>
      </c>
      <c r="J225" s="273">
        <v>1.0</v>
      </c>
      <c r="K225" s="272" t="s">
        <v>196</v>
      </c>
      <c r="L225" s="274">
        <v>100.0</v>
      </c>
      <c r="M225" s="273">
        <v>100.0</v>
      </c>
    </row>
    <row r="226">
      <c r="A226" s="264">
        <v>45809.0</v>
      </c>
      <c r="B226" s="271"/>
      <c r="C226" s="272"/>
      <c r="D226" s="272"/>
      <c r="E226" s="272"/>
      <c r="F226" s="272"/>
      <c r="G226" s="272" t="s">
        <v>197</v>
      </c>
      <c r="H226" s="272" t="s">
        <v>198</v>
      </c>
      <c r="I226" s="272" t="s">
        <v>199</v>
      </c>
      <c r="J226" s="273">
        <v>1.0</v>
      </c>
      <c r="K226" s="272" t="s">
        <v>196</v>
      </c>
      <c r="L226" s="274">
        <v>350.0</v>
      </c>
      <c r="M226" s="273">
        <v>350.0</v>
      </c>
    </row>
    <row r="227">
      <c r="A227" s="264">
        <v>45809.0</v>
      </c>
      <c r="B227" s="277">
        <v>45812.0</v>
      </c>
      <c r="C227" s="278" t="s">
        <v>459</v>
      </c>
      <c r="D227" s="278" t="s">
        <v>460</v>
      </c>
      <c r="E227" s="279">
        <v>45812.0</v>
      </c>
      <c r="F227" s="278" t="s">
        <v>461</v>
      </c>
      <c r="G227" s="278" t="s">
        <v>214</v>
      </c>
      <c r="H227" s="278" t="s">
        <v>215</v>
      </c>
      <c r="I227" s="278" t="s">
        <v>216</v>
      </c>
      <c r="J227" s="280">
        <v>2.0</v>
      </c>
      <c r="K227" s="278" t="s">
        <v>196</v>
      </c>
      <c r="L227" s="274">
        <v>542.99</v>
      </c>
      <c r="M227" s="281">
        <v>1085.98</v>
      </c>
    </row>
    <row r="228">
      <c r="A228" s="264">
        <v>45809.0</v>
      </c>
      <c r="B228" s="277"/>
      <c r="C228" s="278"/>
      <c r="D228" s="278"/>
      <c r="E228" s="278"/>
      <c r="F228" s="278"/>
      <c r="G228" s="278" t="s">
        <v>214</v>
      </c>
      <c r="H228" s="278" t="s">
        <v>215</v>
      </c>
      <c r="I228" s="278" t="s">
        <v>216</v>
      </c>
      <c r="J228" s="280">
        <v>2.0</v>
      </c>
      <c r="K228" s="278" t="s">
        <v>196</v>
      </c>
      <c r="L228" s="274">
        <v>497.01</v>
      </c>
      <c r="M228" s="280">
        <v>994.02</v>
      </c>
    </row>
    <row r="229">
      <c r="A229" s="264">
        <v>45809.0</v>
      </c>
      <c r="B229" s="271"/>
      <c r="C229" s="272"/>
      <c r="D229" s="272"/>
      <c r="E229" s="272"/>
      <c r="F229" s="272"/>
      <c r="G229" s="272" t="s">
        <v>197</v>
      </c>
      <c r="H229" s="272" t="s">
        <v>198</v>
      </c>
      <c r="I229" s="272" t="s">
        <v>199</v>
      </c>
      <c r="J229" s="273">
        <v>1.0</v>
      </c>
      <c r="K229" s="272" t="s">
        <v>196</v>
      </c>
      <c r="L229" s="274">
        <v>400.0</v>
      </c>
      <c r="M229" s="273">
        <v>400.0</v>
      </c>
    </row>
    <row r="230">
      <c r="A230" s="264">
        <v>45809.0</v>
      </c>
      <c r="B230" s="265">
        <v>45812.0</v>
      </c>
      <c r="C230" s="297" t="s">
        <v>462</v>
      </c>
      <c r="D230" s="266" t="s">
        <v>463</v>
      </c>
      <c r="E230" s="267">
        <v>45812.0</v>
      </c>
      <c r="F230" s="266" t="s">
        <v>464</v>
      </c>
      <c r="G230" s="266" t="s">
        <v>193</v>
      </c>
      <c r="H230" s="266" t="s">
        <v>465</v>
      </c>
      <c r="I230" s="266" t="s">
        <v>249</v>
      </c>
      <c r="J230" s="268">
        <v>1.0</v>
      </c>
      <c r="K230" s="266" t="s">
        <v>196</v>
      </c>
      <c r="L230" s="269">
        <v>2400.0</v>
      </c>
      <c r="M230" s="270">
        <v>2400.0</v>
      </c>
    </row>
    <row r="231">
      <c r="A231" s="264">
        <v>45809.0</v>
      </c>
      <c r="B231" s="265">
        <v>45812.0</v>
      </c>
      <c r="C231" s="266" t="s">
        <v>245</v>
      </c>
      <c r="D231" s="266" t="s">
        <v>246</v>
      </c>
      <c r="E231" s="267">
        <v>45812.0</v>
      </c>
      <c r="F231" s="266" t="s">
        <v>466</v>
      </c>
      <c r="G231" s="266" t="s">
        <v>193</v>
      </c>
      <c r="H231" s="266" t="s">
        <v>248</v>
      </c>
      <c r="I231" s="266" t="s">
        <v>249</v>
      </c>
      <c r="J231" s="268">
        <v>3.0</v>
      </c>
      <c r="K231" s="266" t="s">
        <v>196</v>
      </c>
      <c r="L231" s="269">
        <v>1400.0</v>
      </c>
      <c r="M231" s="270">
        <v>4200.0</v>
      </c>
    </row>
    <row r="232">
      <c r="A232" s="264">
        <v>45809.0</v>
      </c>
      <c r="B232" s="277">
        <v>45811.0</v>
      </c>
      <c r="C232" s="278" t="s">
        <v>467</v>
      </c>
      <c r="D232" s="278" t="s">
        <v>468</v>
      </c>
      <c r="E232" s="279">
        <v>45811.0</v>
      </c>
      <c r="F232" s="278" t="s">
        <v>469</v>
      </c>
      <c r="G232" s="278" t="s">
        <v>214</v>
      </c>
      <c r="H232" s="278" t="s">
        <v>215</v>
      </c>
      <c r="I232" s="278" t="s">
        <v>216</v>
      </c>
      <c r="J232" s="280">
        <v>1.0</v>
      </c>
      <c r="K232" s="278" t="s">
        <v>196</v>
      </c>
      <c r="L232" s="269">
        <v>3650.0</v>
      </c>
      <c r="M232" s="281">
        <v>3650.0</v>
      </c>
    </row>
    <row r="233">
      <c r="A233" s="264">
        <v>45809.0</v>
      </c>
      <c r="B233" s="271">
        <v>45811.0</v>
      </c>
      <c r="C233" s="272" t="s">
        <v>324</v>
      </c>
      <c r="D233" s="272" t="s">
        <v>325</v>
      </c>
      <c r="E233" s="275">
        <v>45811.0</v>
      </c>
      <c r="F233" s="272" t="s">
        <v>470</v>
      </c>
      <c r="G233" s="272" t="s">
        <v>197</v>
      </c>
      <c r="H233" s="272" t="s">
        <v>471</v>
      </c>
      <c r="I233" s="272" t="s">
        <v>204</v>
      </c>
      <c r="J233" s="273">
        <v>1.0</v>
      </c>
      <c r="K233" s="272" t="s">
        <v>196</v>
      </c>
      <c r="L233" s="274">
        <v>700.0</v>
      </c>
      <c r="M233" s="273">
        <v>0.0</v>
      </c>
    </row>
    <row r="234">
      <c r="A234" s="264">
        <v>45809.0</v>
      </c>
      <c r="B234" s="271"/>
      <c r="C234" s="272"/>
      <c r="D234" s="272"/>
      <c r="E234" s="272"/>
      <c r="F234" s="272"/>
      <c r="G234" s="272" t="s">
        <v>197</v>
      </c>
      <c r="H234" s="272" t="s">
        <v>198</v>
      </c>
      <c r="I234" s="272" t="s">
        <v>199</v>
      </c>
      <c r="J234" s="273">
        <v>1.0</v>
      </c>
      <c r="K234" s="272" t="s">
        <v>196</v>
      </c>
      <c r="L234" s="274">
        <v>350.0</v>
      </c>
      <c r="M234" s="273">
        <v>0.0</v>
      </c>
    </row>
    <row r="235">
      <c r="A235" s="264">
        <v>45809.0</v>
      </c>
      <c r="B235" s="277">
        <v>45810.0</v>
      </c>
      <c r="C235" s="278" t="s">
        <v>285</v>
      </c>
      <c r="D235" s="278" t="s">
        <v>286</v>
      </c>
      <c r="E235" s="279">
        <v>45810.0</v>
      </c>
      <c r="F235" s="278" t="s">
        <v>472</v>
      </c>
      <c r="G235" s="278" t="s">
        <v>214</v>
      </c>
      <c r="H235" s="278" t="s">
        <v>215</v>
      </c>
      <c r="I235" s="278" t="s">
        <v>216</v>
      </c>
      <c r="J235" s="280">
        <v>1.0</v>
      </c>
      <c r="K235" s="278" t="s">
        <v>196</v>
      </c>
      <c r="L235" s="269">
        <v>8044.31</v>
      </c>
      <c r="M235" s="281">
        <v>8044.31</v>
      </c>
    </row>
    <row r="236">
      <c r="A236" s="264">
        <v>45839.0</v>
      </c>
      <c r="B236" s="277">
        <v>45869.0</v>
      </c>
      <c r="C236" s="278" t="s">
        <v>473</v>
      </c>
      <c r="D236" s="278" t="s">
        <v>474</v>
      </c>
      <c r="E236" s="279">
        <v>45869.0</v>
      </c>
      <c r="F236" s="278" t="s">
        <v>475</v>
      </c>
      <c r="G236" s="278" t="s">
        <v>214</v>
      </c>
      <c r="H236" s="278" t="s">
        <v>410</v>
      </c>
      <c r="I236" s="278" t="s">
        <v>411</v>
      </c>
      <c r="J236" s="280">
        <v>1.0</v>
      </c>
      <c r="K236" s="278" t="s">
        <v>196</v>
      </c>
      <c r="L236" s="269">
        <v>1799.93</v>
      </c>
      <c r="M236" s="281">
        <v>1799.93</v>
      </c>
    </row>
    <row r="237">
      <c r="A237" s="264">
        <v>45839.0</v>
      </c>
      <c r="B237" s="271"/>
      <c r="C237" s="272"/>
      <c r="D237" s="272"/>
      <c r="E237" s="272"/>
      <c r="F237" s="272"/>
      <c r="G237" s="272" t="s">
        <v>197</v>
      </c>
      <c r="H237" s="272" t="s">
        <v>198</v>
      </c>
      <c r="I237" s="272" t="s">
        <v>199</v>
      </c>
      <c r="J237" s="273">
        <v>1.0</v>
      </c>
      <c r="K237" s="272" t="s">
        <v>196</v>
      </c>
      <c r="L237" s="274">
        <v>250.0</v>
      </c>
      <c r="M237" s="273">
        <v>250.0</v>
      </c>
    </row>
    <row r="238">
      <c r="A238" s="264">
        <v>45839.0</v>
      </c>
      <c r="B238" s="294">
        <v>45869.0</v>
      </c>
      <c r="C238" s="295" t="s">
        <v>476</v>
      </c>
      <c r="D238" s="295"/>
      <c r="E238" s="298">
        <v>45869.0</v>
      </c>
      <c r="F238" s="295" t="s">
        <v>477</v>
      </c>
      <c r="G238" s="295" t="s">
        <v>303</v>
      </c>
      <c r="H238" s="295" t="s">
        <v>304</v>
      </c>
      <c r="I238" s="295" t="s">
        <v>305</v>
      </c>
      <c r="J238" s="296">
        <v>1.0</v>
      </c>
      <c r="K238" s="295" t="s">
        <v>196</v>
      </c>
      <c r="L238" s="269">
        <v>1016.0</v>
      </c>
      <c r="M238" s="299">
        <v>1016.0</v>
      </c>
    </row>
    <row r="239">
      <c r="A239" s="264">
        <v>45839.0</v>
      </c>
      <c r="B239" s="294">
        <v>45869.0</v>
      </c>
      <c r="C239" s="295" t="s">
        <v>478</v>
      </c>
      <c r="D239" s="295"/>
      <c r="E239" s="298">
        <v>45869.0</v>
      </c>
      <c r="F239" s="295" t="s">
        <v>479</v>
      </c>
      <c r="G239" s="295" t="s">
        <v>303</v>
      </c>
      <c r="H239" s="295" t="s">
        <v>304</v>
      </c>
      <c r="I239" s="295" t="s">
        <v>305</v>
      </c>
      <c r="J239" s="296">
        <v>1.0</v>
      </c>
      <c r="K239" s="295" t="s">
        <v>196</v>
      </c>
      <c r="L239" s="269">
        <v>1016.0</v>
      </c>
      <c r="M239" s="299">
        <v>1016.0</v>
      </c>
    </row>
    <row r="240">
      <c r="A240" s="264">
        <v>45839.0</v>
      </c>
      <c r="B240" s="294">
        <v>45869.0</v>
      </c>
      <c r="C240" s="295" t="s">
        <v>480</v>
      </c>
      <c r="D240" s="295"/>
      <c r="E240" s="298">
        <v>45869.0</v>
      </c>
      <c r="F240" s="295" t="s">
        <v>481</v>
      </c>
      <c r="G240" s="295" t="s">
        <v>303</v>
      </c>
      <c r="H240" s="295" t="s">
        <v>304</v>
      </c>
      <c r="I240" s="295" t="s">
        <v>305</v>
      </c>
      <c r="J240" s="296">
        <v>2.0</v>
      </c>
      <c r="K240" s="295" t="s">
        <v>196</v>
      </c>
      <c r="L240" s="269">
        <v>1016.0</v>
      </c>
      <c r="M240" s="299">
        <v>1828.8</v>
      </c>
    </row>
    <row r="241">
      <c r="A241" s="264">
        <v>45839.0</v>
      </c>
      <c r="B241" s="294">
        <v>45868.0</v>
      </c>
      <c r="C241" s="295" t="s">
        <v>482</v>
      </c>
      <c r="D241" s="295" t="s">
        <v>483</v>
      </c>
      <c r="E241" s="298">
        <v>45868.0</v>
      </c>
      <c r="F241" s="295" t="s">
        <v>484</v>
      </c>
      <c r="G241" s="295" t="s">
        <v>303</v>
      </c>
      <c r="H241" s="295" t="s">
        <v>304</v>
      </c>
      <c r="I241" s="295" t="s">
        <v>305</v>
      </c>
      <c r="J241" s="296">
        <v>1.0</v>
      </c>
      <c r="K241" s="295" t="s">
        <v>196</v>
      </c>
      <c r="L241" s="269">
        <v>1016.0</v>
      </c>
      <c r="M241" s="296">
        <v>914.4</v>
      </c>
    </row>
    <row r="242">
      <c r="A242" s="264">
        <v>45839.0</v>
      </c>
      <c r="B242" s="294">
        <v>45868.0</v>
      </c>
      <c r="C242" s="295" t="s">
        <v>485</v>
      </c>
      <c r="D242" s="295"/>
      <c r="E242" s="298">
        <v>45868.0</v>
      </c>
      <c r="F242" s="295" t="s">
        <v>486</v>
      </c>
      <c r="G242" s="295" t="s">
        <v>303</v>
      </c>
      <c r="H242" s="295" t="s">
        <v>487</v>
      </c>
      <c r="I242" s="295" t="s">
        <v>305</v>
      </c>
      <c r="J242" s="296">
        <v>1.0</v>
      </c>
      <c r="K242" s="295" t="s">
        <v>196</v>
      </c>
      <c r="L242" s="269">
        <v>1609.32</v>
      </c>
      <c r="M242" s="299">
        <v>1609.32</v>
      </c>
    </row>
    <row r="243">
      <c r="A243" s="264">
        <v>45839.0</v>
      </c>
      <c r="B243" s="294">
        <v>45868.0</v>
      </c>
      <c r="C243" s="295" t="s">
        <v>488</v>
      </c>
      <c r="D243" s="295"/>
      <c r="E243" s="298">
        <v>45868.0</v>
      </c>
      <c r="F243" s="295" t="s">
        <v>489</v>
      </c>
      <c r="G243" s="295" t="s">
        <v>303</v>
      </c>
      <c r="H243" s="295" t="s">
        <v>304</v>
      </c>
      <c r="I243" s="295" t="s">
        <v>305</v>
      </c>
      <c r="J243" s="296">
        <v>1.0</v>
      </c>
      <c r="K243" s="295" t="s">
        <v>196</v>
      </c>
      <c r="L243" s="269">
        <v>1016.0</v>
      </c>
      <c r="M243" s="299">
        <v>1016.0</v>
      </c>
    </row>
    <row r="244">
      <c r="A244" s="264">
        <v>45839.0</v>
      </c>
      <c r="B244" s="265">
        <v>45867.0</v>
      </c>
      <c r="C244" s="266" t="s">
        <v>490</v>
      </c>
      <c r="D244" s="266" t="s">
        <v>425</v>
      </c>
      <c r="E244" s="267">
        <v>45867.0</v>
      </c>
      <c r="F244" s="266" t="s">
        <v>491</v>
      </c>
      <c r="G244" s="266" t="s">
        <v>193</v>
      </c>
      <c r="H244" s="266" t="s">
        <v>248</v>
      </c>
      <c r="I244" s="266" t="s">
        <v>249</v>
      </c>
      <c r="J244" s="268">
        <v>4.0</v>
      </c>
      <c r="K244" s="266" t="s">
        <v>196</v>
      </c>
      <c r="L244" s="269">
        <v>1400.0</v>
      </c>
      <c r="M244" s="270">
        <v>5600.0</v>
      </c>
    </row>
    <row r="245">
      <c r="A245" s="264">
        <v>45839.0</v>
      </c>
      <c r="B245" s="265"/>
      <c r="C245" s="266"/>
      <c r="D245" s="266"/>
      <c r="E245" s="266"/>
      <c r="F245" s="266"/>
      <c r="G245" s="266" t="s">
        <v>193</v>
      </c>
      <c r="H245" s="266" t="s">
        <v>492</v>
      </c>
      <c r="I245" s="266" t="s">
        <v>493</v>
      </c>
      <c r="J245" s="268">
        <v>1.0</v>
      </c>
      <c r="K245" s="266" t="s">
        <v>196</v>
      </c>
      <c r="L245" s="269">
        <v>1300.0</v>
      </c>
      <c r="M245" s="270">
        <v>1300.0</v>
      </c>
    </row>
    <row r="246">
      <c r="A246" s="264">
        <v>45839.0</v>
      </c>
      <c r="B246" s="265"/>
      <c r="C246" s="266"/>
      <c r="D246" s="266"/>
      <c r="E246" s="266"/>
      <c r="F246" s="266"/>
      <c r="G246" s="266" t="s">
        <v>193</v>
      </c>
      <c r="H246" s="266" t="s">
        <v>494</v>
      </c>
      <c r="I246" s="266" t="s">
        <v>249</v>
      </c>
      <c r="J246" s="268">
        <v>1.0</v>
      </c>
      <c r="K246" s="266" t="s">
        <v>196</v>
      </c>
      <c r="L246" s="274">
        <v>150.0</v>
      </c>
      <c r="M246" s="268">
        <v>150.0</v>
      </c>
    </row>
    <row r="247">
      <c r="A247" s="264">
        <v>45839.0</v>
      </c>
      <c r="B247" s="271"/>
      <c r="C247" s="272"/>
      <c r="D247" s="272"/>
      <c r="E247" s="272"/>
      <c r="F247" s="272"/>
      <c r="G247" s="272" t="s">
        <v>197</v>
      </c>
      <c r="H247" s="272" t="s">
        <v>198</v>
      </c>
      <c r="I247" s="272" t="s">
        <v>199</v>
      </c>
      <c r="J247" s="273">
        <v>1.0</v>
      </c>
      <c r="K247" s="272" t="s">
        <v>196</v>
      </c>
      <c r="L247" s="274">
        <v>400.0</v>
      </c>
      <c r="M247" s="273">
        <v>400.0</v>
      </c>
    </row>
    <row r="248">
      <c r="A248" s="264">
        <v>45839.0</v>
      </c>
      <c r="B248" s="294">
        <v>45867.0</v>
      </c>
      <c r="C248" s="295" t="s">
        <v>495</v>
      </c>
      <c r="D248" s="295"/>
      <c r="E248" s="298">
        <v>45867.0</v>
      </c>
      <c r="F248" s="295" t="s">
        <v>496</v>
      </c>
      <c r="G248" s="295" t="s">
        <v>303</v>
      </c>
      <c r="H248" s="295" t="s">
        <v>304</v>
      </c>
      <c r="I248" s="295" t="s">
        <v>305</v>
      </c>
      <c r="J248" s="296">
        <v>1.0</v>
      </c>
      <c r="K248" s="295" t="s">
        <v>196</v>
      </c>
      <c r="L248" s="269">
        <v>1016.0</v>
      </c>
      <c r="M248" s="299">
        <v>1016.0</v>
      </c>
    </row>
    <row r="249">
      <c r="A249" s="264">
        <v>45839.0</v>
      </c>
      <c r="B249" s="294">
        <v>45867.0</v>
      </c>
      <c r="C249" s="295" t="s">
        <v>497</v>
      </c>
      <c r="D249" s="295"/>
      <c r="E249" s="298">
        <v>45867.0</v>
      </c>
      <c r="F249" s="295" t="s">
        <v>498</v>
      </c>
      <c r="G249" s="295" t="s">
        <v>303</v>
      </c>
      <c r="H249" s="295" t="s">
        <v>304</v>
      </c>
      <c r="I249" s="295" t="s">
        <v>305</v>
      </c>
      <c r="J249" s="296">
        <v>1.0</v>
      </c>
      <c r="K249" s="295" t="s">
        <v>196</v>
      </c>
      <c r="L249" s="269">
        <v>1016.0</v>
      </c>
      <c r="M249" s="299">
        <v>1016.0</v>
      </c>
    </row>
    <row r="250">
      <c r="A250" s="264">
        <v>45839.0</v>
      </c>
      <c r="B250" s="294">
        <v>45867.0</v>
      </c>
      <c r="C250" s="295" t="s">
        <v>499</v>
      </c>
      <c r="D250" s="295"/>
      <c r="E250" s="298">
        <v>45867.0</v>
      </c>
      <c r="F250" s="295" t="s">
        <v>500</v>
      </c>
      <c r="G250" s="295" t="s">
        <v>303</v>
      </c>
      <c r="H250" s="295" t="s">
        <v>487</v>
      </c>
      <c r="I250" s="295" t="s">
        <v>305</v>
      </c>
      <c r="J250" s="296">
        <v>1.0</v>
      </c>
      <c r="K250" s="295" t="s">
        <v>196</v>
      </c>
      <c r="L250" s="269">
        <v>1609.32</v>
      </c>
      <c r="M250" s="299">
        <v>1448.39</v>
      </c>
    </row>
    <row r="251">
      <c r="A251" s="264">
        <v>45839.0</v>
      </c>
      <c r="B251" s="294">
        <v>45867.0</v>
      </c>
      <c r="C251" s="295" t="s">
        <v>499</v>
      </c>
      <c r="D251" s="295"/>
      <c r="E251" s="298">
        <v>45867.0</v>
      </c>
      <c r="F251" s="295" t="s">
        <v>501</v>
      </c>
      <c r="G251" s="295" t="s">
        <v>303</v>
      </c>
      <c r="H251" s="295" t="s">
        <v>304</v>
      </c>
      <c r="I251" s="295" t="s">
        <v>305</v>
      </c>
      <c r="J251" s="296">
        <v>2.0</v>
      </c>
      <c r="K251" s="295" t="s">
        <v>196</v>
      </c>
      <c r="L251" s="269">
        <v>1016.0</v>
      </c>
      <c r="M251" s="299">
        <v>1828.8</v>
      </c>
    </row>
    <row r="252">
      <c r="A252" s="264">
        <v>45839.0</v>
      </c>
      <c r="B252" s="294">
        <v>45867.0</v>
      </c>
      <c r="C252" s="295" t="s">
        <v>502</v>
      </c>
      <c r="D252" s="295"/>
      <c r="E252" s="298">
        <v>45867.0</v>
      </c>
      <c r="F252" s="295" t="s">
        <v>503</v>
      </c>
      <c r="G252" s="295" t="s">
        <v>303</v>
      </c>
      <c r="H252" s="295" t="s">
        <v>304</v>
      </c>
      <c r="I252" s="295" t="s">
        <v>305</v>
      </c>
      <c r="J252" s="296">
        <v>2.0</v>
      </c>
      <c r="K252" s="295" t="s">
        <v>196</v>
      </c>
      <c r="L252" s="269">
        <v>1016.0</v>
      </c>
      <c r="M252" s="299">
        <v>2032.0</v>
      </c>
    </row>
    <row r="253">
      <c r="A253" s="264">
        <v>45839.0</v>
      </c>
      <c r="B253" s="271">
        <v>45867.0</v>
      </c>
      <c r="C253" s="272" t="s">
        <v>504</v>
      </c>
      <c r="D253" s="272" t="s">
        <v>505</v>
      </c>
      <c r="E253" s="275">
        <v>45867.0</v>
      </c>
      <c r="F253" s="272" t="s">
        <v>506</v>
      </c>
      <c r="G253" s="272" t="s">
        <v>197</v>
      </c>
      <c r="H253" s="272"/>
      <c r="I253" s="272"/>
      <c r="J253" s="273">
        <v>3.0</v>
      </c>
      <c r="K253" s="272"/>
      <c r="L253" s="269">
        <v>1150.0</v>
      </c>
      <c r="M253" s="276">
        <v>3450.0</v>
      </c>
    </row>
    <row r="254">
      <c r="A254" s="264">
        <v>45839.0</v>
      </c>
      <c r="B254" s="277">
        <v>45866.0</v>
      </c>
      <c r="C254" s="278" t="s">
        <v>239</v>
      </c>
      <c r="D254" s="278" t="s">
        <v>240</v>
      </c>
      <c r="E254" s="279">
        <v>45866.0</v>
      </c>
      <c r="F254" s="278" t="s">
        <v>507</v>
      </c>
      <c r="G254" s="278" t="s">
        <v>214</v>
      </c>
      <c r="H254" s="278" t="s">
        <v>410</v>
      </c>
      <c r="I254" s="278" t="s">
        <v>411</v>
      </c>
      <c r="J254" s="280">
        <v>1.0</v>
      </c>
      <c r="K254" s="278" t="s">
        <v>196</v>
      </c>
      <c r="L254" s="269">
        <v>2328.2</v>
      </c>
      <c r="M254" s="281">
        <v>2328.2</v>
      </c>
    </row>
    <row r="255">
      <c r="A255" s="264">
        <v>45839.0</v>
      </c>
      <c r="B255" s="277"/>
      <c r="C255" s="278"/>
      <c r="D255" s="278"/>
      <c r="E255" s="278"/>
      <c r="F255" s="278"/>
      <c r="G255" s="278" t="s">
        <v>214</v>
      </c>
      <c r="H255" s="278" t="s">
        <v>410</v>
      </c>
      <c r="I255" s="278" t="s">
        <v>411</v>
      </c>
      <c r="J255" s="280">
        <v>1.0</v>
      </c>
      <c r="K255" s="278" t="s">
        <v>196</v>
      </c>
      <c r="L255" s="269">
        <v>2168.6</v>
      </c>
      <c r="M255" s="281">
        <v>2168.6</v>
      </c>
    </row>
    <row r="256">
      <c r="A256" s="264">
        <v>45839.0</v>
      </c>
      <c r="B256" s="277"/>
      <c r="C256" s="278"/>
      <c r="D256" s="278"/>
      <c r="E256" s="278"/>
      <c r="F256" s="278"/>
      <c r="G256" s="278" t="s">
        <v>214</v>
      </c>
      <c r="H256" s="278" t="s">
        <v>410</v>
      </c>
      <c r="I256" s="278" t="s">
        <v>411</v>
      </c>
      <c r="J256" s="280">
        <v>1.0</v>
      </c>
      <c r="K256" s="278" t="s">
        <v>196</v>
      </c>
      <c r="L256" s="269">
        <v>2328.2</v>
      </c>
      <c r="M256" s="281">
        <v>2328.2</v>
      </c>
    </row>
    <row r="257">
      <c r="A257" s="264">
        <v>45839.0</v>
      </c>
      <c r="B257" s="271"/>
      <c r="C257" s="272"/>
      <c r="D257" s="272"/>
      <c r="E257" s="272"/>
      <c r="F257" s="272"/>
      <c r="G257" s="272" t="s">
        <v>197</v>
      </c>
      <c r="H257" s="272" t="s">
        <v>198</v>
      </c>
      <c r="I257" s="272" t="s">
        <v>199</v>
      </c>
      <c r="J257" s="273">
        <v>1.0</v>
      </c>
      <c r="K257" s="272" t="s">
        <v>196</v>
      </c>
      <c r="L257" s="274">
        <v>600.0</v>
      </c>
      <c r="M257" s="273">
        <v>0.0</v>
      </c>
    </row>
    <row r="258">
      <c r="A258" s="264">
        <v>45839.0</v>
      </c>
      <c r="B258" s="294">
        <v>45866.0</v>
      </c>
      <c r="C258" s="295" t="s">
        <v>508</v>
      </c>
      <c r="D258" s="295"/>
      <c r="E258" s="298">
        <v>45866.0</v>
      </c>
      <c r="F258" s="295" t="s">
        <v>509</v>
      </c>
      <c r="G258" s="295" t="s">
        <v>303</v>
      </c>
      <c r="H258" s="295" t="s">
        <v>304</v>
      </c>
      <c r="I258" s="295" t="s">
        <v>305</v>
      </c>
      <c r="J258" s="296">
        <v>1.0</v>
      </c>
      <c r="K258" s="295" t="s">
        <v>196</v>
      </c>
      <c r="L258" s="269">
        <v>1016.0</v>
      </c>
      <c r="M258" s="299">
        <v>1016.0</v>
      </c>
    </row>
    <row r="259">
      <c r="A259" s="264">
        <v>45839.0</v>
      </c>
      <c r="B259" s="294">
        <v>45866.0</v>
      </c>
      <c r="C259" s="295" t="s">
        <v>510</v>
      </c>
      <c r="D259" s="295"/>
      <c r="E259" s="298">
        <v>45866.0</v>
      </c>
      <c r="F259" s="295" t="s">
        <v>511</v>
      </c>
      <c r="G259" s="295" t="s">
        <v>303</v>
      </c>
      <c r="H259" s="295" t="s">
        <v>304</v>
      </c>
      <c r="I259" s="295" t="s">
        <v>305</v>
      </c>
      <c r="J259" s="296">
        <v>1.0</v>
      </c>
      <c r="K259" s="295" t="s">
        <v>196</v>
      </c>
      <c r="L259" s="269">
        <v>1016.0</v>
      </c>
      <c r="M259" s="296">
        <v>914.4</v>
      </c>
    </row>
    <row r="260">
      <c r="A260" s="264">
        <v>45839.0</v>
      </c>
      <c r="B260" s="271">
        <v>45866.0</v>
      </c>
      <c r="C260" s="272" t="s">
        <v>250</v>
      </c>
      <c r="D260" s="272" t="s">
        <v>251</v>
      </c>
      <c r="E260" s="275">
        <v>45866.0</v>
      </c>
      <c r="F260" s="272" t="s">
        <v>512</v>
      </c>
      <c r="G260" s="272" t="s">
        <v>197</v>
      </c>
      <c r="H260" s="282" t="s">
        <v>219</v>
      </c>
      <c r="I260" s="272" t="s">
        <v>204</v>
      </c>
      <c r="J260" s="273">
        <v>2.0</v>
      </c>
      <c r="K260" s="272" t="s">
        <v>196</v>
      </c>
      <c r="L260" s="269">
        <v>5500.0</v>
      </c>
      <c r="M260" s="276">
        <v>11000.0</v>
      </c>
    </row>
    <row r="261">
      <c r="A261" s="264">
        <v>45839.0</v>
      </c>
      <c r="B261" s="271"/>
      <c r="C261" s="272"/>
      <c r="D261" s="272"/>
      <c r="E261" s="272"/>
      <c r="F261" s="272"/>
      <c r="G261" s="272" t="s">
        <v>197</v>
      </c>
      <c r="H261" s="282" t="s">
        <v>331</v>
      </c>
      <c r="I261" s="272" t="s">
        <v>204</v>
      </c>
      <c r="J261" s="273">
        <v>1.0</v>
      </c>
      <c r="K261" s="272" t="s">
        <v>196</v>
      </c>
      <c r="L261" s="269">
        <v>5500.0</v>
      </c>
      <c r="M261" s="276">
        <v>5500.0</v>
      </c>
    </row>
    <row r="262">
      <c r="A262" s="264">
        <v>45839.0</v>
      </c>
      <c r="B262" s="271"/>
      <c r="C262" s="272"/>
      <c r="D262" s="272"/>
      <c r="E262" s="272"/>
      <c r="F262" s="272"/>
      <c r="G262" s="272" t="s">
        <v>197</v>
      </c>
      <c r="H262" s="272" t="s">
        <v>198</v>
      </c>
      <c r="I262" s="272" t="s">
        <v>199</v>
      </c>
      <c r="J262" s="273">
        <v>1.0</v>
      </c>
      <c r="K262" s="272" t="s">
        <v>196</v>
      </c>
      <c r="L262" s="274">
        <v>350.0</v>
      </c>
      <c r="M262" s="273">
        <v>350.0</v>
      </c>
    </row>
    <row r="263">
      <c r="A263" s="264">
        <v>45839.0</v>
      </c>
      <c r="B263" s="294">
        <v>45866.0</v>
      </c>
      <c r="C263" s="295" t="s">
        <v>513</v>
      </c>
      <c r="D263" s="295"/>
      <c r="E263" s="298">
        <v>45866.0</v>
      </c>
      <c r="F263" s="295" t="s">
        <v>514</v>
      </c>
      <c r="G263" s="295" t="s">
        <v>303</v>
      </c>
      <c r="H263" s="295" t="s">
        <v>487</v>
      </c>
      <c r="I263" s="295" t="s">
        <v>305</v>
      </c>
      <c r="J263" s="296">
        <v>1.0</v>
      </c>
      <c r="K263" s="295" t="s">
        <v>196</v>
      </c>
      <c r="L263" s="269">
        <v>1609.32</v>
      </c>
      <c r="M263" s="299">
        <v>1448.39</v>
      </c>
    </row>
    <row r="264">
      <c r="A264" s="264">
        <v>45839.0</v>
      </c>
      <c r="B264" s="294">
        <v>45866.0</v>
      </c>
      <c r="C264" s="295" t="s">
        <v>513</v>
      </c>
      <c r="D264" s="295"/>
      <c r="E264" s="298">
        <v>45866.0</v>
      </c>
      <c r="F264" s="295" t="s">
        <v>515</v>
      </c>
      <c r="G264" s="295" t="s">
        <v>303</v>
      </c>
      <c r="H264" s="295" t="s">
        <v>304</v>
      </c>
      <c r="I264" s="295" t="s">
        <v>305</v>
      </c>
      <c r="J264" s="296">
        <v>1.0</v>
      </c>
      <c r="K264" s="295" t="s">
        <v>196</v>
      </c>
      <c r="L264" s="269">
        <v>1016.0</v>
      </c>
      <c r="M264" s="296">
        <v>914.4</v>
      </c>
    </row>
    <row r="265">
      <c r="A265" s="264">
        <v>45839.0</v>
      </c>
      <c r="B265" s="294">
        <v>45866.0</v>
      </c>
      <c r="C265" s="295" t="s">
        <v>516</v>
      </c>
      <c r="D265" s="295"/>
      <c r="E265" s="298">
        <v>45866.0</v>
      </c>
      <c r="F265" s="295" t="s">
        <v>517</v>
      </c>
      <c r="G265" s="295" t="s">
        <v>303</v>
      </c>
      <c r="H265" s="295" t="s">
        <v>304</v>
      </c>
      <c r="I265" s="295" t="s">
        <v>305</v>
      </c>
      <c r="J265" s="296">
        <v>1.0</v>
      </c>
      <c r="K265" s="295" t="s">
        <v>196</v>
      </c>
      <c r="L265" s="269">
        <v>1016.0</v>
      </c>
      <c r="M265" s="299">
        <v>1016.0</v>
      </c>
    </row>
    <row r="266">
      <c r="A266" s="264">
        <v>45839.0</v>
      </c>
      <c r="B266" s="294">
        <v>45866.0</v>
      </c>
      <c r="C266" s="295" t="s">
        <v>518</v>
      </c>
      <c r="D266" s="295" t="s">
        <v>519</v>
      </c>
      <c r="E266" s="298">
        <v>45866.0</v>
      </c>
      <c r="F266" s="295" t="s">
        <v>520</v>
      </c>
      <c r="G266" s="295" t="s">
        <v>303</v>
      </c>
      <c r="H266" s="295" t="s">
        <v>304</v>
      </c>
      <c r="I266" s="295" t="s">
        <v>305</v>
      </c>
      <c r="J266" s="296">
        <v>1.0</v>
      </c>
      <c r="K266" s="295" t="s">
        <v>196</v>
      </c>
      <c r="L266" s="269">
        <v>1016.0</v>
      </c>
      <c r="M266" s="296">
        <v>914.4</v>
      </c>
    </row>
    <row r="267">
      <c r="A267" s="264">
        <v>45839.0</v>
      </c>
      <c r="B267" s="271">
        <v>45864.0</v>
      </c>
      <c r="C267" s="272" t="s">
        <v>309</v>
      </c>
      <c r="D267" s="272" t="s">
        <v>310</v>
      </c>
      <c r="E267" s="275">
        <v>45864.0</v>
      </c>
      <c r="F267" s="272" t="s">
        <v>521</v>
      </c>
      <c r="G267" s="272" t="s">
        <v>197</v>
      </c>
      <c r="H267" s="282" t="s">
        <v>331</v>
      </c>
      <c r="I267" s="272" t="s">
        <v>204</v>
      </c>
      <c r="J267" s="273">
        <v>2.0</v>
      </c>
      <c r="K267" s="272" t="s">
        <v>196</v>
      </c>
      <c r="L267" s="269">
        <v>5800.0</v>
      </c>
      <c r="M267" s="276">
        <v>11020.0</v>
      </c>
    </row>
    <row r="268">
      <c r="A268" s="264">
        <v>45839.0</v>
      </c>
      <c r="B268" s="271"/>
      <c r="C268" s="272"/>
      <c r="D268" s="272"/>
      <c r="E268" s="272"/>
      <c r="F268" s="272"/>
      <c r="G268" s="272" t="s">
        <v>197</v>
      </c>
      <c r="H268" s="282" t="s">
        <v>522</v>
      </c>
      <c r="I268" s="272" t="s">
        <v>204</v>
      </c>
      <c r="J268" s="273">
        <v>2.0</v>
      </c>
      <c r="K268" s="272" t="s">
        <v>196</v>
      </c>
      <c r="L268" s="269">
        <v>5800.0</v>
      </c>
      <c r="M268" s="276">
        <v>11020.0</v>
      </c>
    </row>
    <row r="269">
      <c r="A269" s="264">
        <v>45839.0</v>
      </c>
      <c r="B269" s="271"/>
      <c r="C269" s="272"/>
      <c r="D269" s="272"/>
      <c r="E269" s="272"/>
      <c r="F269" s="272"/>
      <c r="G269" s="272" t="s">
        <v>197</v>
      </c>
      <c r="H269" s="272" t="s">
        <v>523</v>
      </c>
      <c r="I269" s="272" t="s">
        <v>204</v>
      </c>
      <c r="J269" s="273">
        <v>1.0</v>
      </c>
      <c r="K269" s="272" t="s">
        <v>196</v>
      </c>
      <c r="L269" s="269">
        <v>4500.0</v>
      </c>
      <c r="M269" s="276">
        <v>4500.0</v>
      </c>
    </row>
    <row r="270">
      <c r="A270" s="264">
        <v>45839.0</v>
      </c>
      <c r="B270" s="271"/>
      <c r="C270" s="272"/>
      <c r="D270" s="272"/>
      <c r="E270" s="272"/>
      <c r="F270" s="272"/>
      <c r="G270" s="272" t="s">
        <v>197</v>
      </c>
      <c r="H270" s="272" t="s">
        <v>198</v>
      </c>
      <c r="I270" s="272" t="s">
        <v>199</v>
      </c>
      <c r="J270" s="273">
        <v>1.0</v>
      </c>
      <c r="K270" s="272" t="s">
        <v>196</v>
      </c>
      <c r="L270" s="274">
        <v>450.0</v>
      </c>
      <c r="M270" s="273">
        <v>450.0</v>
      </c>
    </row>
    <row r="271">
      <c r="A271" s="264">
        <v>45839.0</v>
      </c>
      <c r="B271" s="294">
        <v>45863.0</v>
      </c>
      <c r="C271" s="295" t="s">
        <v>524</v>
      </c>
      <c r="D271" s="295" t="s">
        <v>525</v>
      </c>
      <c r="E271" s="298">
        <v>45863.0</v>
      </c>
      <c r="F271" s="295" t="s">
        <v>526</v>
      </c>
      <c r="G271" s="295" t="s">
        <v>303</v>
      </c>
      <c r="H271" s="295" t="s">
        <v>304</v>
      </c>
      <c r="I271" s="295" t="s">
        <v>305</v>
      </c>
      <c r="J271" s="296">
        <v>1.0</v>
      </c>
      <c r="K271" s="295" t="s">
        <v>196</v>
      </c>
      <c r="L271" s="269">
        <v>1016.0</v>
      </c>
      <c r="M271" s="296">
        <v>914.4</v>
      </c>
    </row>
    <row r="272">
      <c r="A272" s="264">
        <v>45839.0</v>
      </c>
      <c r="B272" s="294"/>
      <c r="C272" s="295"/>
      <c r="D272" s="295"/>
      <c r="E272" s="295"/>
      <c r="F272" s="295"/>
      <c r="G272" s="295" t="s">
        <v>303</v>
      </c>
      <c r="H272" s="295" t="s">
        <v>487</v>
      </c>
      <c r="I272" s="295" t="s">
        <v>305</v>
      </c>
      <c r="J272" s="296">
        <v>1.0</v>
      </c>
      <c r="K272" s="295" t="s">
        <v>196</v>
      </c>
      <c r="L272" s="269">
        <v>1609.32</v>
      </c>
      <c r="M272" s="299">
        <v>1448.39</v>
      </c>
    </row>
    <row r="273">
      <c r="A273" s="264">
        <v>45839.0</v>
      </c>
      <c r="B273" s="294">
        <v>45862.0</v>
      </c>
      <c r="C273" s="295" t="s">
        <v>527</v>
      </c>
      <c r="D273" s="295" t="s">
        <v>528</v>
      </c>
      <c r="E273" s="298">
        <v>45862.0</v>
      </c>
      <c r="F273" s="295" t="s">
        <v>529</v>
      </c>
      <c r="G273" s="295" t="s">
        <v>303</v>
      </c>
      <c r="H273" s="295" t="s">
        <v>304</v>
      </c>
      <c r="I273" s="295" t="s">
        <v>305</v>
      </c>
      <c r="J273" s="296">
        <v>1.0</v>
      </c>
      <c r="K273" s="295" t="s">
        <v>196</v>
      </c>
      <c r="L273" s="269">
        <v>1016.0</v>
      </c>
      <c r="M273" s="299">
        <v>1016.0</v>
      </c>
    </row>
    <row r="274">
      <c r="A274" s="264">
        <v>45839.0</v>
      </c>
      <c r="B274" s="294">
        <v>45862.0</v>
      </c>
      <c r="C274" s="295" t="s">
        <v>530</v>
      </c>
      <c r="D274" s="295"/>
      <c r="E274" s="298">
        <v>45862.0</v>
      </c>
      <c r="F274" s="295" t="s">
        <v>531</v>
      </c>
      <c r="G274" s="295" t="s">
        <v>303</v>
      </c>
      <c r="H274" s="295" t="s">
        <v>304</v>
      </c>
      <c r="I274" s="295" t="s">
        <v>305</v>
      </c>
      <c r="J274" s="296">
        <v>1.0</v>
      </c>
      <c r="K274" s="295" t="s">
        <v>196</v>
      </c>
      <c r="L274" s="269">
        <v>1016.0</v>
      </c>
      <c r="M274" s="299">
        <v>1016.0</v>
      </c>
    </row>
    <row r="275">
      <c r="A275" s="264">
        <v>45839.0</v>
      </c>
      <c r="B275" s="277">
        <v>45860.0</v>
      </c>
      <c r="C275" s="278" t="s">
        <v>532</v>
      </c>
      <c r="D275" s="278" t="s">
        <v>533</v>
      </c>
      <c r="E275" s="279">
        <v>45860.0</v>
      </c>
      <c r="F275" s="278" t="s">
        <v>534</v>
      </c>
      <c r="G275" s="278" t="s">
        <v>214</v>
      </c>
      <c r="H275" s="278" t="s">
        <v>410</v>
      </c>
      <c r="I275" s="278" t="s">
        <v>411</v>
      </c>
      <c r="J275" s="280">
        <v>1.0</v>
      </c>
      <c r="K275" s="278" t="s">
        <v>196</v>
      </c>
      <c r="L275" s="274">
        <v>910.0</v>
      </c>
      <c r="M275" s="280">
        <v>910.0</v>
      </c>
    </row>
    <row r="276">
      <c r="A276" s="264">
        <v>45839.0</v>
      </c>
      <c r="B276" s="294">
        <v>45860.0</v>
      </c>
      <c r="C276" s="295" t="s">
        <v>535</v>
      </c>
      <c r="D276" s="295"/>
      <c r="E276" s="298">
        <v>45860.0</v>
      </c>
      <c r="F276" s="295" t="s">
        <v>536</v>
      </c>
      <c r="G276" s="295" t="s">
        <v>303</v>
      </c>
      <c r="H276" s="295" t="s">
        <v>304</v>
      </c>
      <c r="I276" s="295" t="s">
        <v>305</v>
      </c>
      <c r="J276" s="296">
        <v>1.0</v>
      </c>
      <c r="K276" s="295" t="s">
        <v>196</v>
      </c>
      <c r="L276" s="269">
        <v>1016.0</v>
      </c>
      <c r="M276" s="296">
        <v>914.4</v>
      </c>
    </row>
    <row r="277">
      <c r="A277" s="264">
        <v>45839.0</v>
      </c>
      <c r="B277" s="294">
        <v>45860.0</v>
      </c>
      <c r="C277" s="295" t="s">
        <v>537</v>
      </c>
      <c r="D277" s="295"/>
      <c r="E277" s="298">
        <v>45860.0</v>
      </c>
      <c r="F277" s="295" t="s">
        <v>538</v>
      </c>
      <c r="G277" s="295" t="s">
        <v>303</v>
      </c>
      <c r="H277" s="295" t="s">
        <v>487</v>
      </c>
      <c r="I277" s="295" t="s">
        <v>305</v>
      </c>
      <c r="J277" s="296">
        <v>1.0</v>
      </c>
      <c r="K277" s="295" t="s">
        <v>196</v>
      </c>
      <c r="L277" s="269">
        <v>1609.32</v>
      </c>
      <c r="M277" s="299">
        <v>1609.32</v>
      </c>
    </row>
    <row r="278">
      <c r="A278" s="264">
        <v>45839.0</v>
      </c>
      <c r="B278" s="294">
        <v>45860.0</v>
      </c>
      <c r="C278" s="295" t="s">
        <v>539</v>
      </c>
      <c r="D278" s="295" t="s">
        <v>540</v>
      </c>
      <c r="E278" s="298">
        <v>45860.0</v>
      </c>
      <c r="F278" s="295" t="s">
        <v>541</v>
      </c>
      <c r="G278" s="295" t="s">
        <v>303</v>
      </c>
      <c r="H278" s="295" t="s">
        <v>487</v>
      </c>
      <c r="I278" s="295" t="s">
        <v>305</v>
      </c>
      <c r="J278" s="296">
        <v>1.0</v>
      </c>
      <c r="K278" s="295" t="s">
        <v>196</v>
      </c>
      <c r="L278" s="269">
        <v>1609.32</v>
      </c>
      <c r="M278" s="299">
        <v>1609.32</v>
      </c>
    </row>
    <row r="279">
      <c r="A279" s="264">
        <v>45839.0</v>
      </c>
      <c r="B279" s="294">
        <v>45859.0</v>
      </c>
      <c r="C279" s="295" t="s">
        <v>542</v>
      </c>
      <c r="D279" s="295"/>
      <c r="E279" s="298">
        <v>45859.0</v>
      </c>
      <c r="F279" s="295" t="s">
        <v>543</v>
      </c>
      <c r="G279" s="295" t="s">
        <v>303</v>
      </c>
      <c r="H279" s="295" t="s">
        <v>304</v>
      </c>
      <c r="I279" s="295" t="s">
        <v>305</v>
      </c>
      <c r="J279" s="296">
        <v>1.0</v>
      </c>
      <c r="K279" s="295" t="s">
        <v>196</v>
      </c>
      <c r="L279" s="269">
        <v>1016.0</v>
      </c>
      <c r="M279" s="296">
        <v>914.4</v>
      </c>
    </row>
    <row r="280">
      <c r="A280" s="264">
        <v>45839.0</v>
      </c>
      <c r="B280" s="294">
        <v>45857.0</v>
      </c>
      <c r="C280" s="295" t="s">
        <v>544</v>
      </c>
      <c r="D280" s="295"/>
      <c r="E280" s="298">
        <v>45857.0</v>
      </c>
      <c r="F280" s="295" t="s">
        <v>545</v>
      </c>
      <c r="G280" s="295" t="s">
        <v>303</v>
      </c>
      <c r="H280" s="295" t="s">
        <v>304</v>
      </c>
      <c r="I280" s="295" t="s">
        <v>305</v>
      </c>
      <c r="J280" s="296">
        <v>1.0</v>
      </c>
      <c r="K280" s="295" t="s">
        <v>196</v>
      </c>
      <c r="L280" s="269">
        <v>1016.0</v>
      </c>
      <c r="M280" s="299">
        <v>1016.0</v>
      </c>
    </row>
    <row r="281">
      <c r="A281" s="264">
        <v>45839.0</v>
      </c>
      <c r="B281" s="294">
        <v>45856.0</v>
      </c>
      <c r="C281" s="295" t="s">
        <v>546</v>
      </c>
      <c r="D281" s="295"/>
      <c r="E281" s="298">
        <v>45856.0</v>
      </c>
      <c r="F281" s="295" t="s">
        <v>547</v>
      </c>
      <c r="G281" s="295" t="s">
        <v>303</v>
      </c>
      <c r="H281" s="295" t="s">
        <v>304</v>
      </c>
      <c r="I281" s="295" t="s">
        <v>305</v>
      </c>
      <c r="J281" s="296">
        <v>1.0</v>
      </c>
      <c r="K281" s="295" t="s">
        <v>196</v>
      </c>
      <c r="L281" s="269">
        <v>1016.0</v>
      </c>
      <c r="M281" s="299">
        <v>1016.0</v>
      </c>
    </row>
    <row r="282">
      <c r="A282" s="264">
        <v>45839.0</v>
      </c>
      <c r="B282" s="294">
        <v>45856.0</v>
      </c>
      <c r="C282" s="295" t="s">
        <v>548</v>
      </c>
      <c r="D282" s="295"/>
      <c r="E282" s="298">
        <v>45856.0</v>
      </c>
      <c r="F282" s="295" t="s">
        <v>549</v>
      </c>
      <c r="G282" s="295" t="s">
        <v>303</v>
      </c>
      <c r="H282" s="295" t="s">
        <v>304</v>
      </c>
      <c r="I282" s="295" t="s">
        <v>305</v>
      </c>
      <c r="J282" s="296">
        <v>1.0</v>
      </c>
      <c r="K282" s="295" t="s">
        <v>196</v>
      </c>
      <c r="L282" s="269">
        <v>1016.0</v>
      </c>
      <c r="M282" s="299">
        <v>1016.0</v>
      </c>
    </row>
    <row r="283">
      <c r="A283" s="264">
        <v>45839.0</v>
      </c>
      <c r="B283" s="271">
        <v>45856.0</v>
      </c>
      <c r="C283" s="272" t="s">
        <v>239</v>
      </c>
      <c r="D283" s="272" t="s">
        <v>240</v>
      </c>
      <c r="E283" s="275">
        <v>45856.0</v>
      </c>
      <c r="F283" s="272" t="s">
        <v>550</v>
      </c>
      <c r="G283" s="272" t="s">
        <v>197</v>
      </c>
      <c r="H283" s="272" t="s">
        <v>551</v>
      </c>
      <c r="I283" s="272"/>
      <c r="J283" s="273">
        <v>1.0</v>
      </c>
      <c r="K283" s="272" t="s">
        <v>196</v>
      </c>
      <c r="L283" s="269">
        <v>1200.0</v>
      </c>
      <c r="M283" s="273">
        <v>0.0</v>
      </c>
    </row>
    <row r="284">
      <c r="A284" s="264">
        <v>45839.0</v>
      </c>
      <c r="B284" s="271"/>
      <c r="C284" s="272"/>
      <c r="D284" s="272"/>
      <c r="E284" s="272"/>
      <c r="F284" s="272"/>
      <c r="G284" s="272" t="s">
        <v>197</v>
      </c>
      <c r="H284" s="272" t="s">
        <v>552</v>
      </c>
      <c r="I284" s="272" t="s">
        <v>204</v>
      </c>
      <c r="J284" s="273">
        <v>2.0</v>
      </c>
      <c r="K284" s="272" t="s">
        <v>196</v>
      </c>
      <c r="L284" s="269">
        <v>1000.0</v>
      </c>
      <c r="M284" s="273">
        <v>0.0</v>
      </c>
    </row>
    <row r="285">
      <c r="A285" s="264">
        <v>45839.0</v>
      </c>
      <c r="B285" s="271"/>
      <c r="C285" s="272"/>
      <c r="D285" s="272"/>
      <c r="E285" s="272"/>
      <c r="F285" s="272"/>
      <c r="G285" s="272" t="s">
        <v>197</v>
      </c>
      <c r="H285" s="272" t="s">
        <v>206</v>
      </c>
      <c r="I285" s="272" t="s">
        <v>204</v>
      </c>
      <c r="J285" s="273">
        <v>1.0</v>
      </c>
      <c r="K285" s="272" t="s">
        <v>196</v>
      </c>
      <c r="L285" s="274">
        <v>100.0</v>
      </c>
      <c r="M285" s="273">
        <v>0.0</v>
      </c>
    </row>
    <row r="286">
      <c r="A286" s="264">
        <v>45839.0</v>
      </c>
      <c r="B286" s="271"/>
      <c r="C286" s="272"/>
      <c r="D286" s="272"/>
      <c r="E286" s="272"/>
      <c r="F286" s="272"/>
      <c r="G286" s="272" t="s">
        <v>197</v>
      </c>
      <c r="H286" s="272"/>
      <c r="I286" s="272"/>
      <c r="J286" s="273">
        <v>0.0</v>
      </c>
      <c r="K286" s="272"/>
      <c r="L286" s="274">
        <v>0.0</v>
      </c>
      <c r="M286" s="273">
        <v>0.0</v>
      </c>
    </row>
    <row r="287">
      <c r="A287" s="264">
        <v>45839.0</v>
      </c>
      <c r="B287" s="294">
        <v>45855.0</v>
      </c>
      <c r="C287" s="295" t="s">
        <v>553</v>
      </c>
      <c r="D287" s="295" t="s">
        <v>554</v>
      </c>
      <c r="E287" s="298">
        <v>45855.0</v>
      </c>
      <c r="F287" s="295" t="s">
        <v>555</v>
      </c>
      <c r="G287" s="295" t="s">
        <v>303</v>
      </c>
      <c r="H287" s="295" t="s">
        <v>304</v>
      </c>
      <c r="I287" s="295" t="s">
        <v>305</v>
      </c>
      <c r="J287" s="296">
        <v>1.0</v>
      </c>
      <c r="K287" s="295" t="s">
        <v>196</v>
      </c>
      <c r="L287" s="269">
        <v>1016.0</v>
      </c>
      <c r="M287" s="299">
        <v>1016.0</v>
      </c>
    </row>
    <row r="288">
      <c r="A288" s="264">
        <v>45839.0</v>
      </c>
      <c r="B288" s="294">
        <v>45855.0</v>
      </c>
      <c r="C288" s="295" t="s">
        <v>556</v>
      </c>
      <c r="D288" s="295"/>
      <c r="E288" s="298">
        <v>45855.0</v>
      </c>
      <c r="F288" s="295" t="s">
        <v>557</v>
      </c>
      <c r="G288" s="295" t="s">
        <v>303</v>
      </c>
      <c r="H288" s="295" t="s">
        <v>304</v>
      </c>
      <c r="I288" s="295" t="s">
        <v>305</v>
      </c>
      <c r="J288" s="296">
        <v>1.0</v>
      </c>
      <c r="K288" s="295" t="s">
        <v>196</v>
      </c>
      <c r="L288" s="269">
        <v>1016.0</v>
      </c>
      <c r="M288" s="296">
        <v>914.4</v>
      </c>
    </row>
    <row r="289">
      <c r="A289" s="264">
        <v>45839.0</v>
      </c>
      <c r="B289" s="294">
        <v>45855.0</v>
      </c>
      <c r="C289" s="295" t="s">
        <v>558</v>
      </c>
      <c r="D289" s="295"/>
      <c r="E289" s="298">
        <v>45855.0</v>
      </c>
      <c r="F289" s="295" t="s">
        <v>559</v>
      </c>
      <c r="G289" s="295" t="s">
        <v>303</v>
      </c>
      <c r="H289" s="295" t="s">
        <v>304</v>
      </c>
      <c r="I289" s="295" t="s">
        <v>305</v>
      </c>
      <c r="J289" s="296">
        <v>1.0</v>
      </c>
      <c r="K289" s="295" t="s">
        <v>196</v>
      </c>
      <c r="L289" s="269">
        <v>1609.32</v>
      </c>
      <c r="M289" s="299">
        <v>1609.32</v>
      </c>
    </row>
    <row r="290">
      <c r="A290" s="264">
        <v>45839.0</v>
      </c>
      <c r="B290" s="294">
        <v>45855.0</v>
      </c>
      <c r="C290" s="295" t="s">
        <v>560</v>
      </c>
      <c r="D290" s="295"/>
      <c r="E290" s="298">
        <v>45855.0</v>
      </c>
      <c r="F290" s="295" t="s">
        <v>561</v>
      </c>
      <c r="G290" s="295" t="s">
        <v>303</v>
      </c>
      <c r="H290" s="295" t="s">
        <v>304</v>
      </c>
      <c r="I290" s="295" t="s">
        <v>305</v>
      </c>
      <c r="J290" s="296">
        <v>1.0</v>
      </c>
      <c r="K290" s="295" t="s">
        <v>196</v>
      </c>
      <c r="L290" s="269">
        <v>1016.0</v>
      </c>
      <c r="M290" s="296">
        <v>914.4</v>
      </c>
    </row>
    <row r="291">
      <c r="A291" s="264">
        <v>45839.0</v>
      </c>
      <c r="B291" s="294">
        <v>45855.0</v>
      </c>
      <c r="C291" s="295" t="s">
        <v>562</v>
      </c>
      <c r="D291" s="295"/>
      <c r="E291" s="298">
        <v>45855.0</v>
      </c>
      <c r="F291" s="295" t="s">
        <v>563</v>
      </c>
      <c r="G291" s="295" t="s">
        <v>303</v>
      </c>
      <c r="H291" s="295" t="s">
        <v>304</v>
      </c>
      <c r="I291" s="295" t="s">
        <v>305</v>
      </c>
      <c r="J291" s="296">
        <v>1.0</v>
      </c>
      <c r="K291" s="295" t="s">
        <v>196</v>
      </c>
      <c r="L291" s="269">
        <v>1016.0</v>
      </c>
      <c r="M291" s="299">
        <v>1016.0</v>
      </c>
    </row>
    <row r="292">
      <c r="A292" s="264">
        <v>45839.0</v>
      </c>
      <c r="B292" s="271">
        <v>45854.0</v>
      </c>
      <c r="C292" s="272" t="s">
        <v>564</v>
      </c>
      <c r="D292" s="272" t="s">
        <v>565</v>
      </c>
      <c r="E292" s="275">
        <v>45854.0</v>
      </c>
      <c r="F292" s="272" t="s">
        <v>566</v>
      </c>
      <c r="G292" s="272" t="s">
        <v>197</v>
      </c>
      <c r="H292" s="272" t="s">
        <v>227</v>
      </c>
      <c r="I292" s="272" t="s">
        <v>210</v>
      </c>
      <c r="J292" s="273">
        <v>1.0</v>
      </c>
      <c r="K292" s="272" t="s">
        <v>196</v>
      </c>
      <c r="L292" s="269">
        <v>1500.0</v>
      </c>
      <c r="M292" s="276">
        <v>1500.0</v>
      </c>
    </row>
    <row r="293">
      <c r="A293" s="264">
        <v>45839.0</v>
      </c>
      <c r="B293" s="271"/>
      <c r="C293" s="272"/>
      <c r="D293" s="272"/>
      <c r="E293" s="272"/>
      <c r="F293" s="272"/>
      <c r="G293" s="272" t="s">
        <v>197</v>
      </c>
      <c r="H293" s="272"/>
      <c r="I293" s="272"/>
      <c r="J293" s="273">
        <v>0.0</v>
      </c>
      <c r="K293" s="272"/>
      <c r="L293" s="274">
        <v>0.0</v>
      </c>
      <c r="M293" s="273">
        <v>0.0</v>
      </c>
    </row>
    <row r="294">
      <c r="A294" s="264">
        <v>45839.0</v>
      </c>
      <c r="B294" s="294">
        <v>45853.0</v>
      </c>
      <c r="C294" s="295" t="s">
        <v>567</v>
      </c>
      <c r="D294" s="295" t="s">
        <v>568</v>
      </c>
      <c r="E294" s="298">
        <v>45853.0</v>
      </c>
      <c r="F294" s="295" t="s">
        <v>569</v>
      </c>
      <c r="G294" s="295" t="s">
        <v>303</v>
      </c>
      <c r="H294" s="295" t="s">
        <v>304</v>
      </c>
      <c r="I294" s="295" t="s">
        <v>305</v>
      </c>
      <c r="J294" s="296">
        <v>1.0</v>
      </c>
      <c r="K294" s="295" t="s">
        <v>196</v>
      </c>
      <c r="L294" s="269">
        <v>1609.32</v>
      </c>
      <c r="M294" s="299">
        <v>1609.32</v>
      </c>
    </row>
    <row r="295">
      <c r="A295" s="264">
        <v>45839.0</v>
      </c>
      <c r="B295" s="271">
        <v>45849.0</v>
      </c>
      <c r="C295" s="272" t="s">
        <v>309</v>
      </c>
      <c r="D295" s="272" t="s">
        <v>310</v>
      </c>
      <c r="E295" s="275">
        <v>45849.0</v>
      </c>
      <c r="F295" s="272" t="s">
        <v>570</v>
      </c>
      <c r="G295" s="272" t="s">
        <v>197</v>
      </c>
      <c r="H295" s="282" t="s">
        <v>331</v>
      </c>
      <c r="I295" s="272" t="s">
        <v>204</v>
      </c>
      <c r="J295" s="273">
        <v>1.0</v>
      </c>
      <c r="K295" s="272" t="s">
        <v>196</v>
      </c>
      <c r="L295" s="269">
        <v>5800.0</v>
      </c>
      <c r="M295" s="273">
        <v>0.0</v>
      </c>
    </row>
    <row r="296">
      <c r="A296" s="264">
        <v>45839.0</v>
      </c>
      <c r="B296" s="271"/>
      <c r="C296" s="272"/>
      <c r="D296" s="272"/>
      <c r="E296" s="272"/>
      <c r="F296" s="272"/>
      <c r="G296" s="272" t="s">
        <v>197</v>
      </c>
      <c r="H296" s="272"/>
      <c r="I296" s="272"/>
      <c r="J296" s="273">
        <v>0.0</v>
      </c>
      <c r="K296" s="272"/>
      <c r="L296" s="274">
        <v>0.0</v>
      </c>
      <c r="M296" s="273">
        <v>0.0</v>
      </c>
    </row>
    <row r="297">
      <c r="A297" s="264">
        <v>45839.0</v>
      </c>
      <c r="B297" s="277">
        <v>45848.0</v>
      </c>
      <c r="C297" s="278" t="s">
        <v>431</v>
      </c>
      <c r="D297" s="278" t="s">
        <v>432</v>
      </c>
      <c r="E297" s="279">
        <v>45848.0</v>
      </c>
      <c r="F297" s="278" t="s">
        <v>571</v>
      </c>
      <c r="G297" s="278" t="s">
        <v>214</v>
      </c>
      <c r="H297" s="278" t="s">
        <v>410</v>
      </c>
      <c r="I297" s="278" t="s">
        <v>411</v>
      </c>
      <c r="J297" s="280">
        <v>1.0</v>
      </c>
      <c r="K297" s="278" t="s">
        <v>196</v>
      </c>
      <c r="L297" s="269">
        <v>17519.0</v>
      </c>
      <c r="M297" s="281">
        <v>17519.0</v>
      </c>
    </row>
    <row r="298">
      <c r="A298" s="264">
        <v>45839.0</v>
      </c>
      <c r="B298" s="277"/>
      <c r="C298" s="278"/>
      <c r="D298" s="278"/>
      <c r="E298" s="278"/>
      <c r="F298" s="278"/>
      <c r="G298" s="278" t="s">
        <v>214</v>
      </c>
      <c r="H298" s="278" t="s">
        <v>410</v>
      </c>
      <c r="I298" s="278" t="s">
        <v>411</v>
      </c>
      <c r="J298" s="280">
        <v>1.0</v>
      </c>
      <c r="K298" s="278" t="s">
        <v>196</v>
      </c>
      <c r="L298" s="269">
        <v>15677.0</v>
      </c>
      <c r="M298" s="281">
        <v>15677.0</v>
      </c>
    </row>
    <row r="299">
      <c r="A299" s="264">
        <v>45839.0</v>
      </c>
      <c r="B299" s="271"/>
      <c r="C299" s="272"/>
      <c r="D299" s="272"/>
      <c r="E299" s="272"/>
      <c r="F299" s="272"/>
      <c r="G299" s="272" t="s">
        <v>197</v>
      </c>
      <c r="H299" s="272" t="s">
        <v>198</v>
      </c>
      <c r="I299" s="272" t="s">
        <v>199</v>
      </c>
      <c r="J299" s="273">
        <v>1.0</v>
      </c>
      <c r="K299" s="272" t="s">
        <v>196</v>
      </c>
      <c r="L299" s="274">
        <v>350.0</v>
      </c>
      <c r="M299" s="273">
        <v>350.0</v>
      </c>
    </row>
    <row r="300">
      <c r="A300" s="264">
        <v>45839.0</v>
      </c>
      <c r="B300" s="277">
        <v>45847.0</v>
      </c>
      <c r="C300" s="278" t="s">
        <v>415</v>
      </c>
      <c r="D300" s="278" t="s">
        <v>416</v>
      </c>
      <c r="E300" s="279">
        <v>45847.0</v>
      </c>
      <c r="F300" s="278" t="s">
        <v>572</v>
      </c>
      <c r="G300" s="278" t="s">
        <v>214</v>
      </c>
      <c r="H300" s="278" t="s">
        <v>215</v>
      </c>
      <c r="I300" s="278" t="s">
        <v>216</v>
      </c>
      <c r="J300" s="280">
        <v>8.0</v>
      </c>
      <c r="K300" s="278" t="s">
        <v>196</v>
      </c>
      <c r="L300" s="269">
        <v>1875.0</v>
      </c>
      <c r="M300" s="281">
        <v>15000.0</v>
      </c>
    </row>
    <row r="301">
      <c r="A301" s="264">
        <v>45839.0</v>
      </c>
      <c r="B301" s="277"/>
      <c r="C301" s="278"/>
      <c r="D301" s="278"/>
      <c r="E301" s="278"/>
      <c r="F301" s="278"/>
      <c r="G301" s="278" t="s">
        <v>214</v>
      </c>
      <c r="H301" s="278" t="s">
        <v>215</v>
      </c>
      <c r="I301" s="278" t="s">
        <v>216</v>
      </c>
      <c r="J301" s="280">
        <v>1.0</v>
      </c>
      <c r="K301" s="278" t="s">
        <v>196</v>
      </c>
      <c r="L301" s="269">
        <v>10000.0</v>
      </c>
      <c r="M301" s="281">
        <v>10000.0</v>
      </c>
    </row>
    <row r="302">
      <c r="A302" s="264">
        <v>45839.0</v>
      </c>
      <c r="B302" s="277"/>
      <c r="C302" s="278"/>
      <c r="D302" s="278"/>
      <c r="E302" s="278"/>
      <c r="F302" s="278"/>
      <c r="G302" s="278" t="s">
        <v>214</v>
      </c>
      <c r="H302" s="278" t="s">
        <v>215</v>
      </c>
      <c r="I302" s="278" t="s">
        <v>216</v>
      </c>
      <c r="J302" s="280">
        <v>1.0</v>
      </c>
      <c r="K302" s="278" t="s">
        <v>196</v>
      </c>
      <c r="L302" s="269">
        <v>10000.0</v>
      </c>
      <c r="M302" s="281">
        <v>10000.0</v>
      </c>
    </row>
    <row r="303">
      <c r="A303" s="264">
        <v>45839.0</v>
      </c>
      <c r="B303" s="289">
        <v>45846.0</v>
      </c>
      <c r="C303" s="290" t="s">
        <v>450</v>
      </c>
      <c r="D303" s="290" t="s">
        <v>451</v>
      </c>
      <c r="E303" s="291">
        <v>45846.0</v>
      </c>
      <c r="F303" s="290" t="s">
        <v>573</v>
      </c>
      <c r="G303" s="290" t="s">
        <v>273</v>
      </c>
      <c r="H303" s="290" t="s">
        <v>453</v>
      </c>
      <c r="I303" s="290" t="s">
        <v>275</v>
      </c>
      <c r="J303" s="292">
        <v>1.0</v>
      </c>
      <c r="K303" s="290" t="s">
        <v>196</v>
      </c>
      <c r="L303" s="269">
        <v>176271.19</v>
      </c>
      <c r="M303" s="293">
        <v>176271.19</v>
      </c>
    </row>
    <row r="304">
      <c r="A304" s="264">
        <v>45839.0</v>
      </c>
      <c r="B304" s="271">
        <v>45846.0</v>
      </c>
      <c r="C304" s="272" t="s">
        <v>250</v>
      </c>
      <c r="D304" s="272" t="s">
        <v>251</v>
      </c>
      <c r="E304" s="275">
        <v>45846.0</v>
      </c>
      <c r="F304" s="272" t="s">
        <v>574</v>
      </c>
      <c r="G304" s="272" t="s">
        <v>197</v>
      </c>
      <c r="H304" s="282" t="s">
        <v>575</v>
      </c>
      <c r="I304" s="272" t="s">
        <v>204</v>
      </c>
      <c r="J304" s="273">
        <v>1.0</v>
      </c>
      <c r="K304" s="272" t="s">
        <v>196</v>
      </c>
      <c r="L304" s="269">
        <v>5500.0</v>
      </c>
      <c r="M304" s="276">
        <v>5500.0</v>
      </c>
    </row>
    <row r="305">
      <c r="A305" s="264">
        <v>45839.0</v>
      </c>
      <c r="B305" s="271"/>
      <c r="C305" s="272"/>
      <c r="D305" s="272"/>
      <c r="E305" s="272"/>
      <c r="F305" s="272"/>
      <c r="G305" s="272" t="s">
        <v>197</v>
      </c>
      <c r="H305" s="272" t="s">
        <v>198</v>
      </c>
      <c r="I305" s="272" t="s">
        <v>199</v>
      </c>
      <c r="J305" s="273">
        <v>1.0</v>
      </c>
      <c r="K305" s="272" t="s">
        <v>196</v>
      </c>
      <c r="L305" s="274">
        <v>350.0</v>
      </c>
      <c r="M305" s="273">
        <v>350.0</v>
      </c>
    </row>
    <row r="306">
      <c r="A306" s="264">
        <v>45839.0</v>
      </c>
      <c r="B306" s="271">
        <v>45846.0</v>
      </c>
      <c r="C306" s="272" t="s">
        <v>200</v>
      </c>
      <c r="D306" s="272" t="s">
        <v>201</v>
      </c>
      <c r="E306" s="275">
        <v>45846.0</v>
      </c>
      <c r="F306" s="272" t="s">
        <v>576</v>
      </c>
      <c r="G306" s="272" t="s">
        <v>197</v>
      </c>
      <c r="H306" s="282" t="s">
        <v>575</v>
      </c>
      <c r="I306" s="272" t="s">
        <v>204</v>
      </c>
      <c r="J306" s="273">
        <v>1.0</v>
      </c>
      <c r="K306" s="272" t="s">
        <v>196</v>
      </c>
      <c r="L306" s="269">
        <v>5500.0</v>
      </c>
      <c r="M306" s="276">
        <v>5500.0</v>
      </c>
    </row>
    <row r="307">
      <c r="A307" s="264">
        <v>45839.0</v>
      </c>
      <c r="B307" s="271"/>
      <c r="C307" s="272"/>
      <c r="D307" s="272"/>
      <c r="E307" s="272"/>
      <c r="F307" s="272"/>
      <c r="G307" s="272" t="s">
        <v>197</v>
      </c>
      <c r="H307" s="272" t="s">
        <v>269</v>
      </c>
      <c r="I307" s="272" t="s">
        <v>204</v>
      </c>
      <c r="J307" s="273">
        <v>20.0</v>
      </c>
      <c r="K307" s="272" t="s">
        <v>196</v>
      </c>
      <c r="L307" s="274">
        <v>90.0</v>
      </c>
      <c r="M307" s="276">
        <v>1800.0</v>
      </c>
    </row>
    <row r="308">
      <c r="A308" s="264">
        <v>45839.0</v>
      </c>
      <c r="B308" s="271"/>
      <c r="C308" s="272"/>
      <c r="D308" s="272"/>
      <c r="E308" s="272"/>
      <c r="F308" s="272"/>
      <c r="G308" s="272" t="s">
        <v>197</v>
      </c>
      <c r="H308" s="272" t="s">
        <v>577</v>
      </c>
      <c r="I308" s="272" t="s">
        <v>204</v>
      </c>
      <c r="J308" s="273">
        <v>6.0</v>
      </c>
      <c r="K308" s="272" t="s">
        <v>196</v>
      </c>
      <c r="L308" s="274">
        <v>40.0</v>
      </c>
      <c r="M308" s="273">
        <v>240.0</v>
      </c>
    </row>
    <row r="309">
      <c r="A309" s="264">
        <v>45839.0</v>
      </c>
      <c r="B309" s="271"/>
      <c r="C309" s="272"/>
      <c r="D309" s="272"/>
      <c r="E309" s="272"/>
      <c r="F309" s="272"/>
      <c r="G309" s="272" t="s">
        <v>197</v>
      </c>
      <c r="H309" s="272" t="s">
        <v>578</v>
      </c>
      <c r="I309" s="272" t="s">
        <v>204</v>
      </c>
      <c r="J309" s="273">
        <v>4.0</v>
      </c>
      <c r="K309" s="272" t="s">
        <v>196</v>
      </c>
      <c r="L309" s="274">
        <v>350.0</v>
      </c>
      <c r="M309" s="276">
        <v>1400.0</v>
      </c>
    </row>
    <row r="310">
      <c r="A310" s="264">
        <v>45839.0</v>
      </c>
      <c r="B310" s="271"/>
      <c r="C310" s="272"/>
      <c r="D310" s="272"/>
      <c r="E310" s="272"/>
      <c r="F310" s="272"/>
      <c r="G310" s="272" t="s">
        <v>197</v>
      </c>
      <c r="H310" s="272" t="s">
        <v>340</v>
      </c>
      <c r="I310" s="272" t="s">
        <v>204</v>
      </c>
      <c r="J310" s="273">
        <v>5.0</v>
      </c>
      <c r="K310" s="272" t="s">
        <v>205</v>
      </c>
      <c r="L310" s="274">
        <v>250.0</v>
      </c>
      <c r="M310" s="276">
        <v>1250.0</v>
      </c>
    </row>
    <row r="311">
      <c r="A311" s="264">
        <v>45839.0</v>
      </c>
      <c r="B311" s="271"/>
      <c r="C311" s="272"/>
      <c r="D311" s="272"/>
      <c r="E311" s="272"/>
      <c r="F311" s="272"/>
      <c r="G311" s="272" t="s">
        <v>197</v>
      </c>
      <c r="H311" s="272" t="s">
        <v>579</v>
      </c>
      <c r="I311" s="272" t="s">
        <v>204</v>
      </c>
      <c r="J311" s="273">
        <v>2.0</v>
      </c>
      <c r="K311" s="272" t="s">
        <v>196</v>
      </c>
      <c r="L311" s="274">
        <v>150.0</v>
      </c>
      <c r="M311" s="273">
        <v>300.0</v>
      </c>
    </row>
    <row r="312">
      <c r="A312" s="264">
        <v>45839.0</v>
      </c>
      <c r="B312" s="271"/>
      <c r="C312" s="272"/>
      <c r="D312" s="272"/>
      <c r="E312" s="272"/>
      <c r="F312" s="272"/>
      <c r="G312" s="272" t="s">
        <v>197</v>
      </c>
      <c r="H312" s="272" t="s">
        <v>580</v>
      </c>
      <c r="I312" s="272" t="s">
        <v>204</v>
      </c>
      <c r="J312" s="273">
        <v>2.0</v>
      </c>
      <c r="K312" s="272" t="s">
        <v>196</v>
      </c>
      <c r="L312" s="274">
        <v>150.0</v>
      </c>
      <c r="M312" s="273">
        <v>300.0</v>
      </c>
    </row>
    <row r="313">
      <c r="A313" s="264">
        <v>45839.0</v>
      </c>
      <c r="B313" s="271"/>
      <c r="C313" s="272"/>
      <c r="D313" s="272"/>
      <c r="E313" s="272"/>
      <c r="F313" s="272"/>
      <c r="G313" s="272" t="s">
        <v>197</v>
      </c>
      <c r="H313" s="272" t="s">
        <v>581</v>
      </c>
      <c r="I313" s="272" t="s">
        <v>204</v>
      </c>
      <c r="J313" s="273">
        <v>2.0</v>
      </c>
      <c r="K313" s="272" t="s">
        <v>196</v>
      </c>
      <c r="L313" s="274">
        <v>150.0</v>
      </c>
      <c r="M313" s="273">
        <v>300.0</v>
      </c>
    </row>
    <row r="314">
      <c r="A314" s="264">
        <v>45839.0</v>
      </c>
      <c r="B314" s="271"/>
      <c r="C314" s="272"/>
      <c r="D314" s="272"/>
      <c r="E314" s="272"/>
      <c r="F314" s="272"/>
      <c r="G314" s="272" t="s">
        <v>197</v>
      </c>
      <c r="H314" s="272" t="s">
        <v>198</v>
      </c>
      <c r="I314" s="272" t="s">
        <v>199</v>
      </c>
      <c r="J314" s="273">
        <v>1.0</v>
      </c>
      <c r="K314" s="272" t="s">
        <v>196</v>
      </c>
      <c r="L314" s="274">
        <v>350.0</v>
      </c>
      <c r="M314" s="273">
        <v>350.0</v>
      </c>
    </row>
    <row r="315">
      <c r="A315" s="264">
        <v>45839.0</v>
      </c>
      <c r="B315" s="277">
        <v>45846.0</v>
      </c>
      <c r="C315" s="278" t="s">
        <v>582</v>
      </c>
      <c r="D315" s="278" t="s">
        <v>583</v>
      </c>
      <c r="E315" s="279">
        <v>45846.0</v>
      </c>
      <c r="F315" s="278" t="s">
        <v>584</v>
      </c>
      <c r="G315" s="278" t="s">
        <v>214</v>
      </c>
      <c r="H315" s="278" t="s">
        <v>585</v>
      </c>
      <c r="I315" s="278" t="s">
        <v>216</v>
      </c>
      <c r="J315" s="280">
        <v>1.0</v>
      </c>
      <c r="K315" s="278" t="s">
        <v>196</v>
      </c>
      <c r="L315" s="274">
        <v>100.0</v>
      </c>
      <c r="M315" s="280">
        <v>0.0</v>
      </c>
    </row>
    <row r="316">
      <c r="A316" s="264">
        <v>45839.0</v>
      </c>
      <c r="B316" s="277">
        <v>45842.0</v>
      </c>
      <c r="C316" s="278" t="s">
        <v>467</v>
      </c>
      <c r="D316" s="278" t="s">
        <v>468</v>
      </c>
      <c r="E316" s="279">
        <v>45842.0</v>
      </c>
      <c r="F316" s="278" t="s">
        <v>586</v>
      </c>
      <c r="G316" s="278" t="s">
        <v>214</v>
      </c>
      <c r="H316" s="278" t="s">
        <v>215</v>
      </c>
      <c r="I316" s="278" t="s">
        <v>216</v>
      </c>
      <c r="J316" s="280">
        <v>11.0</v>
      </c>
      <c r="K316" s="278" t="s">
        <v>196</v>
      </c>
      <c r="L316" s="269">
        <v>3650.0</v>
      </c>
      <c r="M316" s="281">
        <v>40150.0</v>
      </c>
    </row>
    <row r="317">
      <c r="A317" s="264">
        <v>45839.0</v>
      </c>
      <c r="B317" s="265">
        <v>45839.0</v>
      </c>
      <c r="C317" s="266" t="s">
        <v>587</v>
      </c>
      <c r="D317" s="266"/>
      <c r="E317" s="267">
        <v>45839.0</v>
      </c>
      <c r="F317" s="266" t="s">
        <v>588</v>
      </c>
      <c r="G317" s="266" t="s">
        <v>193</v>
      </c>
      <c r="H317" s="266" t="s">
        <v>194</v>
      </c>
      <c r="I317" s="266" t="s">
        <v>195</v>
      </c>
      <c r="J317" s="268">
        <v>1.0</v>
      </c>
      <c r="K317" s="266" t="s">
        <v>196</v>
      </c>
      <c r="L317" s="269">
        <v>1400.0</v>
      </c>
      <c r="M317" s="270">
        <v>1400.0</v>
      </c>
    </row>
    <row r="318">
      <c r="A318" s="264">
        <v>45839.0</v>
      </c>
      <c r="B318" s="277">
        <v>45839.0</v>
      </c>
      <c r="C318" s="278" t="s">
        <v>589</v>
      </c>
      <c r="D318" s="278"/>
      <c r="E318" s="279">
        <v>45839.0</v>
      </c>
      <c r="F318" s="278" t="s">
        <v>590</v>
      </c>
      <c r="G318" s="278" t="s">
        <v>214</v>
      </c>
      <c r="H318" s="278" t="s">
        <v>215</v>
      </c>
      <c r="I318" s="278" t="s">
        <v>216</v>
      </c>
      <c r="J318" s="280">
        <v>5.0</v>
      </c>
      <c r="K318" s="278" t="s">
        <v>196</v>
      </c>
      <c r="L318" s="274">
        <v>100.0</v>
      </c>
      <c r="M318" s="280">
        <v>500.0</v>
      </c>
    </row>
    <row r="319">
      <c r="A319" s="264">
        <v>45870.0</v>
      </c>
      <c r="B319" s="277">
        <v>45883.0</v>
      </c>
      <c r="C319" s="278" t="s">
        <v>591</v>
      </c>
      <c r="D319" s="278" t="s">
        <v>592</v>
      </c>
      <c r="E319" s="279">
        <v>45883.0</v>
      </c>
      <c r="F319" s="278" t="s">
        <v>593</v>
      </c>
      <c r="G319" s="278" t="s">
        <v>214</v>
      </c>
      <c r="H319" s="278" t="s">
        <v>410</v>
      </c>
      <c r="I319" s="278" t="s">
        <v>411</v>
      </c>
      <c r="J319" s="280">
        <v>1.0</v>
      </c>
      <c r="K319" s="278" t="s">
        <v>196</v>
      </c>
      <c r="L319" s="274">
        <v>750.0</v>
      </c>
      <c r="M319" s="280">
        <v>750.0</v>
      </c>
    </row>
    <row r="320">
      <c r="A320" s="264">
        <v>45870.0</v>
      </c>
      <c r="B320" s="277"/>
      <c r="C320" s="278"/>
      <c r="D320" s="278"/>
      <c r="E320" s="278"/>
      <c r="F320" s="278"/>
      <c r="G320" s="278" t="s">
        <v>214</v>
      </c>
      <c r="H320" s="278" t="s">
        <v>410</v>
      </c>
      <c r="I320" s="278" t="s">
        <v>411</v>
      </c>
      <c r="J320" s="280">
        <v>2.0</v>
      </c>
      <c r="K320" s="278" t="s">
        <v>196</v>
      </c>
      <c r="L320" s="269">
        <v>1050.0</v>
      </c>
      <c r="M320" s="281">
        <v>2100.0</v>
      </c>
    </row>
    <row r="321">
      <c r="A321" s="264">
        <v>45870.0</v>
      </c>
      <c r="B321" s="271"/>
      <c r="C321" s="272"/>
      <c r="D321" s="272"/>
      <c r="E321" s="272"/>
      <c r="F321" s="272"/>
      <c r="G321" s="272" t="s">
        <v>197</v>
      </c>
      <c r="H321" s="272" t="s">
        <v>198</v>
      </c>
      <c r="I321" s="272" t="s">
        <v>199</v>
      </c>
      <c r="J321" s="273">
        <v>1.0</v>
      </c>
      <c r="K321" s="272" t="s">
        <v>196</v>
      </c>
      <c r="L321" s="274">
        <v>350.0</v>
      </c>
      <c r="M321" s="273">
        <v>350.0</v>
      </c>
    </row>
    <row r="322">
      <c r="A322" s="264">
        <v>45870.0</v>
      </c>
      <c r="B322" s="294">
        <v>45883.0</v>
      </c>
      <c r="C322" s="295" t="s">
        <v>594</v>
      </c>
      <c r="D322" s="295"/>
      <c r="E322" s="298">
        <v>45883.0</v>
      </c>
      <c r="F322" s="295" t="s">
        <v>595</v>
      </c>
      <c r="G322" s="295" t="s">
        <v>303</v>
      </c>
      <c r="H322" s="295" t="s">
        <v>304</v>
      </c>
      <c r="I322" s="295" t="s">
        <v>305</v>
      </c>
      <c r="J322" s="296">
        <v>1.0</v>
      </c>
      <c r="K322" s="295" t="s">
        <v>196</v>
      </c>
      <c r="L322" s="269">
        <v>1016.0</v>
      </c>
      <c r="M322" s="299">
        <v>1016.0</v>
      </c>
    </row>
    <row r="323">
      <c r="A323" s="264">
        <v>45870.0</v>
      </c>
      <c r="B323" s="271">
        <v>45883.0</v>
      </c>
      <c r="C323" s="272" t="s">
        <v>455</v>
      </c>
      <c r="D323" s="272" t="s">
        <v>280</v>
      </c>
      <c r="E323" s="275">
        <v>45883.0</v>
      </c>
      <c r="F323" s="272" t="s">
        <v>596</v>
      </c>
      <c r="G323" s="288" t="s">
        <v>197</v>
      </c>
      <c r="H323" s="272" t="s">
        <v>597</v>
      </c>
      <c r="I323" s="272" t="s">
        <v>210</v>
      </c>
      <c r="J323" s="273">
        <v>1.0</v>
      </c>
      <c r="K323" s="272" t="s">
        <v>598</v>
      </c>
      <c r="L323" s="269">
        <v>118562.0</v>
      </c>
      <c r="M323" s="276">
        <v>113819.52</v>
      </c>
    </row>
    <row r="324">
      <c r="A324" s="264">
        <v>45870.0</v>
      </c>
      <c r="B324" s="271"/>
      <c r="C324" s="272"/>
      <c r="D324" s="272"/>
      <c r="E324" s="272"/>
      <c r="F324" s="272"/>
      <c r="G324" s="272" t="s">
        <v>197</v>
      </c>
      <c r="H324" s="272"/>
      <c r="I324" s="272"/>
      <c r="J324" s="273">
        <v>0.0</v>
      </c>
      <c r="K324" s="272"/>
      <c r="L324" s="274">
        <v>0.0</v>
      </c>
      <c r="M324" s="273">
        <v>0.0</v>
      </c>
    </row>
    <row r="325">
      <c r="A325" s="264">
        <v>45870.0</v>
      </c>
      <c r="B325" s="271"/>
      <c r="C325" s="272"/>
      <c r="D325" s="272"/>
      <c r="E325" s="272"/>
      <c r="F325" s="272"/>
      <c r="G325" s="288" t="s">
        <v>197</v>
      </c>
      <c r="H325" s="272" t="s">
        <v>597</v>
      </c>
      <c r="I325" s="272" t="s">
        <v>210</v>
      </c>
      <c r="J325" s="273">
        <v>1.0</v>
      </c>
      <c r="K325" s="272" t="s">
        <v>598</v>
      </c>
      <c r="L325" s="269">
        <v>43290.0</v>
      </c>
      <c r="M325" s="276">
        <v>42424.2</v>
      </c>
    </row>
    <row r="326">
      <c r="A326" s="264">
        <v>45870.0</v>
      </c>
      <c r="B326" s="271"/>
      <c r="C326" s="272"/>
      <c r="D326" s="272"/>
      <c r="E326" s="272"/>
      <c r="F326" s="272"/>
      <c r="G326" s="272" t="s">
        <v>197</v>
      </c>
      <c r="H326" s="272"/>
      <c r="I326" s="272"/>
      <c r="J326" s="273">
        <v>0.0</v>
      </c>
      <c r="K326" s="272"/>
      <c r="L326" s="274">
        <v>0.0</v>
      </c>
      <c r="M326" s="273">
        <v>0.0</v>
      </c>
    </row>
    <row r="327">
      <c r="A327" s="264">
        <v>45870.0</v>
      </c>
      <c r="B327" s="265">
        <v>45883.0</v>
      </c>
      <c r="C327" s="297" t="s">
        <v>599</v>
      </c>
      <c r="D327" s="266" t="s">
        <v>600</v>
      </c>
      <c r="E327" s="267">
        <v>45883.0</v>
      </c>
      <c r="F327" s="266" t="s">
        <v>601</v>
      </c>
      <c r="G327" s="266" t="s">
        <v>193</v>
      </c>
      <c r="H327" s="266" t="s">
        <v>194</v>
      </c>
      <c r="I327" s="266" t="s">
        <v>195</v>
      </c>
      <c r="J327" s="268">
        <v>2.0</v>
      </c>
      <c r="K327" s="266" t="s">
        <v>196</v>
      </c>
      <c r="L327" s="269">
        <v>1400.0</v>
      </c>
      <c r="M327" s="270">
        <v>2800.0</v>
      </c>
    </row>
    <row r="328">
      <c r="A328" s="264">
        <v>45870.0</v>
      </c>
      <c r="B328" s="265"/>
      <c r="C328" s="266"/>
      <c r="D328" s="266"/>
      <c r="E328" s="266"/>
      <c r="F328" s="266"/>
      <c r="G328" s="266" t="s">
        <v>193</v>
      </c>
      <c r="H328" s="266" t="s">
        <v>492</v>
      </c>
      <c r="I328" s="266" t="s">
        <v>493</v>
      </c>
      <c r="J328" s="268">
        <v>2.0</v>
      </c>
      <c r="K328" s="266" t="s">
        <v>196</v>
      </c>
      <c r="L328" s="269">
        <v>1300.0</v>
      </c>
      <c r="M328" s="270">
        <v>2600.0</v>
      </c>
    </row>
    <row r="329">
      <c r="A329" s="264">
        <v>45870.0</v>
      </c>
      <c r="B329" s="271"/>
      <c r="C329" s="272"/>
      <c r="D329" s="272"/>
      <c r="E329" s="272"/>
      <c r="F329" s="272"/>
      <c r="G329" s="272" t="s">
        <v>197</v>
      </c>
      <c r="H329" s="272" t="s">
        <v>198</v>
      </c>
      <c r="I329" s="272" t="s">
        <v>199</v>
      </c>
      <c r="J329" s="273">
        <v>1.0</v>
      </c>
      <c r="K329" s="272" t="s">
        <v>196</v>
      </c>
      <c r="L329" s="274">
        <v>350.0</v>
      </c>
      <c r="M329" s="273">
        <v>350.0</v>
      </c>
    </row>
    <row r="330">
      <c r="A330" s="264">
        <v>45870.0</v>
      </c>
      <c r="B330" s="294">
        <v>45882.0</v>
      </c>
      <c r="C330" s="295" t="s">
        <v>602</v>
      </c>
      <c r="D330" s="295"/>
      <c r="E330" s="298">
        <v>45882.0</v>
      </c>
      <c r="F330" s="295" t="s">
        <v>603</v>
      </c>
      <c r="G330" s="295" t="s">
        <v>303</v>
      </c>
      <c r="H330" s="295" t="s">
        <v>304</v>
      </c>
      <c r="I330" s="295" t="s">
        <v>305</v>
      </c>
      <c r="J330" s="296">
        <v>1.0</v>
      </c>
      <c r="K330" s="295" t="s">
        <v>196</v>
      </c>
      <c r="L330" s="269">
        <v>1016.0</v>
      </c>
      <c r="M330" s="299">
        <v>1016.0</v>
      </c>
    </row>
    <row r="331">
      <c r="A331" s="264">
        <v>45870.0</v>
      </c>
      <c r="B331" s="294">
        <v>45882.0</v>
      </c>
      <c r="C331" s="295" t="s">
        <v>508</v>
      </c>
      <c r="D331" s="295"/>
      <c r="E331" s="298">
        <v>45882.0</v>
      </c>
      <c r="F331" s="295" t="s">
        <v>604</v>
      </c>
      <c r="G331" s="295" t="s">
        <v>303</v>
      </c>
      <c r="H331" s="295" t="s">
        <v>304</v>
      </c>
      <c r="I331" s="295" t="s">
        <v>305</v>
      </c>
      <c r="J331" s="296">
        <v>1.0</v>
      </c>
      <c r="K331" s="295" t="s">
        <v>196</v>
      </c>
      <c r="L331" s="269">
        <v>1016.0</v>
      </c>
      <c r="M331" s="299">
        <v>1016.0</v>
      </c>
    </row>
    <row r="332">
      <c r="A332" s="264">
        <v>45870.0</v>
      </c>
      <c r="B332" s="294">
        <v>45882.0</v>
      </c>
      <c r="C332" s="295" t="s">
        <v>605</v>
      </c>
      <c r="D332" s="295"/>
      <c r="E332" s="298">
        <v>45882.0</v>
      </c>
      <c r="F332" s="295" t="s">
        <v>606</v>
      </c>
      <c r="G332" s="295" t="s">
        <v>303</v>
      </c>
      <c r="H332" s="295" t="s">
        <v>304</v>
      </c>
      <c r="I332" s="295" t="s">
        <v>305</v>
      </c>
      <c r="J332" s="296">
        <v>1.0</v>
      </c>
      <c r="K332" s="295" t="s">
        <v>196</v>
      </c>
      <c r="L332" s="269">
        <v>1016.0</v>
      </c>
      <c r="M332" s="299">
        <v>1016.0</v>
      </c>
    </row>
    <row r="333">
      <c r="A333" s="264">
        <v>45870.0</v>
      </c>
      <c r="B333" s="294">
        <v>45882.0</v>
      </c>
      <c r="C333" s="295" t="s">
        <v>607</v>
      </c>
      <c r="D333" s="295"/>
      <c r="E333" s="298">
        <v>45882.0</v>
      </c>
      <c r="F333" s="295" t="s">
        <v>608</v>
      </c>
      <c r="G333" s="295" t="s">
        <v>303</v>
      </c>
      <c r="H333" s="295" t="s">
        <v>304</v>
      </c>
      <c r="I333" s="295" t="s">
        <v>305</v>
      </c>
      <c r="J333" s="296">
        <v>1.0</v>
      </c>
      <c r="K333" s="295" t="s">
        <v>196</v>
      </c>
      <c r="L333" s="269">
        <v>1016.0</v>
      </c>
      <c r="M333" s="299">
        <v>1016.0</v>
      </c>
    </row>
    <row r="334">
      <c r="A334" s="264">
        <v>45870.0</v>
      </c>
      <c r="B334" s="294">
        <v>45881.0</v>
      </c>
      <c r="C334" s="295" t="s">
        <v>609</v>
      </c>
      <c r="D334" s="295"/>
      <c r="E334" s="298">
        <v>45881.0</v>
      </c>
      <c r="F334" s="295" t="s">
        <v>610</v>
      </c>
      <c r="G334" s="295" t="s">
        <v>303</v>
      </c>
      <c r="H334" s="295" t="s">
        <v>304</v>
      </c>
      <c r="I334" s="295" t="s">
        <v>305</v>
      </c>
      <c r="J334" s="296">
        <v>5.0</v>
      </c>
      <c r="K334" s="295" t="s">
        <v>196</v>
      </c>
      <c r="L334" s="269">
        <v>1016.0</v>
      </c>
      <c r="M334" s="299">
        <v>4318.0</v>
      </c>
    </row>
    <row r="335">
      <c r="A335" s="264">
        <v>45870.0</v>
      </c>
      <c r="B335" s="271">
        <v>45881.0</v>
      </c>
      <c r="C335" s="272" t="s">
        <v>250</v>
      </c>
      <c r="D335" s="272" t="s">
        <v>251</v>
      </c>
      <c r="E335" s="275">
        <v>45881.0</v>
      </c>
      <c r="F335" s="272" t="s">
        <v>611</v>
      </c>
      <c r="G335" s="272" t="s">
        <v>197</v>
      </c>
      <c r="H335" s="272" t="s">
        <v>439</v>
      </c>
      <c r="I335" s="272" t="s">
        <v>204</v>
      </c>
      <c r="J335" s="273">
        <v>5.0</v>
      </c>
      <c r="K335" s="272" t="s">
        <v>196</v>
      </c>
      <c r="L335" s="274">
        <v>250.0</v>
      </c>
      <c r="M335" s="276">
        <v>1250.0</v>
      </c>
    </row>
    <row r="336">
      <c r="A336" s="264">
        <v>45870.0</v>
      </c>
      <c r="B336" s="271"/>
      <c r="C336" s="272"/>
      <c r="D336" s="272"/>
      <c r="E336" s="272"/>
      <c r="F336" s="272"/>
      <c r="G336" s="272" t="s">
        <v>197</v>
      </c>
      <c r="H336" s="272" t="s">
        <v>612</v>
      </c>
      <c r="I336" s="272" t="s">
        <v>204</v>
      </c>
      <c r="J336" s="273">
        <v>2.0</v>
      </c>
      <c r="K336" s="272" t="s">
        <v>196</v>
      </c>
      <c r="L336" s="274">
        <v>700.0</v>
      </c>
      <c r="M336" s="276">
        <v>1400.0</v>
      </c>
    </row>
    <row r="337">
      <c r="A337" s="264">
        <v>45870.0</v>
      </c>
      <c r="B337" s="271"/>
      <c r="C337" s="272"/>
      <c r="D337" s="272"/>
      <c r="E337" s="272"/>
      <c r="F337" s="272"/>
      <c r="G337" s="272" t="s">
        <v>197</v>
      </c>
      <c r="H337" s="272" t="s">
        <v>198</v>
      </c>
      <c r="I337" s="272" t="s">
        <v>199</v>
      </c>
      <c r="J337" s="273">
        <v>1.0</v>
      </c>
      <c r="K337" s="272" t="s">
        <v>196</v>
      </c>
      <c r="L337" s="274">
        <v>350.0</v>
      </c>
      <c r="M337" s="273">
        <v>350.0</v>
      </c>
    </row>
    <row r="338">
      <c r="A338" s="264">
        <v>45870.0</v>
      </c>
      <c r="B338" s="294">
        <v>45881.0</v>
      </c>
      <c r="C338" s="295" t="s">
        <v>499</v>
      </c>
      <c r="D338" s="295"/>
      <c r="E338" s="298">
        <v>45881.0</v>
      </c>
      <c r="F338" s="295" t="s">
        <v>613</v>
      </c>
      <c r="G338" s="295" t="s">
        <v>303</v>
      </c>
      <c r="H338" s="295" t="s">
        <v>304</v>
      </c>
      <c r="I338" s="295" t="s">
        <v>305</v>
      </c>
      <c r="J338" s="296">
        <v>2.0</v>
      </c>
      <c r="K338" s="295" t="s">
        <v>196</v>
      </c>
      <c r="L338" s="269">
        <v>1016.0</v>
      </c>
      <c r="M338" s="296">
        <v>0.0</v>
      </c>
    </row>
    <row r="339">
      <c r="A339" s="264">
        <v>45870.0</v>
      </c>
      <c r="B339" s="294">
        <v>45880.0</v>
      </c>
      <c r="C339" s="295" t="s">
        <v>614</v>
      </c>
      <c r="D339" s="295"/>
      <c r="E339" s="298">
        <v>45880.0</v>
      </c>
      <c r="F339" s="295" t="s">
        <v>615</v>
      </c>
      <c r="G339" s="295" t="s">
        <v>303</v>
      </c>
      <c r="H339" s="295" t="s">
        <v>304</v>
      </c>
      <c r="I339" s="295" t="s">
        <v>305</v>
      </c>
      <c r="J339" s="296">
        <v>1.0</v>
      </c>
      <c r="K339" s="295" t="s">
        <v>196</v>
      </c>
      <c r="L339" s="269">
        <v>1016.0</v>
      </c>
      <c r="M339" s="299">
        <v>1016.0</v>
      </c>
    </row>
    <row r="340">
      <c r="A340" s="264">
        <v>45870.0</v>
      </c>
      <c r="B340" s="294">
        <v>45880.0</v>
      </c>
      <c r="C340" s="295" t="s">
        <v>616</v>
      </c>
      <c r="D340" s="295"/>
      <c r="E340" s="298">
        <v>45880.0</v>
      </c>
      <c r="F340" s="295" t="s">
        <v>617</v>
      </c>
      <c r="G340" s="295" t="s">
        <v>303</v>
      </c>
      <c r="H340" s="295" t="s">
        <v>304</v>
      </c>
      <c r="I340" s="295" t="s">
        <v>305</v>
      </c>
      <c r="J340" s="296">
        <v>1.0</v>
      </c>
      <c r="K340" s="295" t="s">
        <v>196</v>
      </c>
      <c r="L340" s="269">
        <v>1016.0</v>
      </c>
      <c r="M340" s="299">
        <v>1016.0</v>
      </c>
    </row>
    <row r="341">
      <c r="A341" s="264">
        <v>45870.0</v>
      </c>
      <c r="B341" s="294">
        <v>45880.0</v>
      </c>
      <c r="C341" s="295" t="s">
        <v>618</v>
      </c>
      <c r="D341" s="295"/>
      <c r="E341" s="298">
        <v>45880.0</v>
      </c>
      <c r="F341" s="295" t="s">
        <v>619</v>
      </c>
      <c r="G341" s="295" t="s">
        <v>303</v>
      </c>
      <c r="H341" s="295" t="s">
        <v>304</v>
      </c>
      <c r="I341" s="295" t="s">
        <v>305</v>
      </c>
      <c r="J341" s="296">
        <v>1.0</v>
      </c>
      <c r="K341" s="295" t="s">
        <v>196</v>
      </c>
      <c r="L341" s="269">
        <v>1016.0</v>
      </c>
      <c r="M341" s="296">
        <v>914.4</v>
      </c>
    </row>
    <row r="342">
      <c r="A342" s="264">
        <v>45870.0</v>
      </c>
      <c r="B342" s="294">
        <v>45880.0</v>
      </c>
      <c r="C342" s="295" t="s">
        <v>620</v>
      </c>
      <c r="D342" s="295"/>
      <c r="E342" s="298">
        <v>45880.0</v>
      </c>
      <c r="F342" s="295" t="s">
        <v>621</v>
      </c>
      <c r="G342" s="295" t="s">
        <v>303</v>
      </c>
      <c r="H342" s="295" t="s">
        <v>304</v>
      </c>
      <c r="I342" s="295" t="s">
        <v>305</v>
      </c>
      <c r="J342" s="296">
        <v>1.0</v>
      </c>
      <c r="K342" s="295" t="s">
        <v>196</v>
      </c>
      <c r="L342" s="269">
        <v>1016.0</v>
      </c>
      <c r="M342" s="299">
        <v>1016.0</v>
      </c>
    </row>
    <row r="343">
      <c r="A343" s="264">
        <v>45870.0</v>
      </c>
      <c r="B343" s="294">
        <v>45880.0</v>
      </c>
      <c r="C343" s="295" t="s">
        <v>622</v>
      </c>
      <c r="D343" s="295" t="s">
        <v>623</v>
      </c>
      <c r="E343" s="298">
        <v>45880.0</v>
      </c>
      <c r="F343" s="295" t="s">
        <v>624</v>
      </c>
      <c r="G343" s="295" t="s">
        <v>303</v>
      </c>
      <c r="H343" s="295" t="s">
        <v>304</v>
      </c>
      <c r="I343" s="295" t="s">
        <v>305</v>
      </c>
      <c r="J343" s="296">
        <v>1.0</v>
      </c>
      <c r="K343" s="295" t="s">
        <v>196</v>
      </c>
      <c r="L343" s="269">
        <v>1016.0</v>
      </c>
      <c r="M343" s="296">
        <v>914.4</v>
      </c>
    </row>
    <row r="344">
      <c r="A344" s="264">
        <v>45870.0</v>
      </c>
      <c r="B344" s="294">
        <v>45880.0</v>
      </c>
      <c r="C344" s="295" t="s">
        <v>625</v>
      </c>
      <c r="D344" s="295"/>
      <c r="E344" s="298">
        <v>45880.0</v>
      </c>
      <c r="F344" s="295" t="s">
        <v>626</v>
      </c>
      <c r="G344" s="295" t="s">
        <v>303</v>
      </c>
      <c r="H344" s="295" t="s">
        <v>304</v>
      </c>
      <c r="I344" s="295" t="s">
        <v>305</v>
      </c>
      <c r="J344" s="296">
        <v>1.0</v>
      </c>
      <c r="K344" s="295" t="s">
        <v>196</v>
      </c>
      <c r="L344" s="269">
        <v>1016.0</v>
      </c>
      <c r="M344" s="299">
        <v>1016.0</v>
      </c>
    </row>
    <row r="345">
      <c r="A345" s="264">
        <v>45870.0</v>
      </c>
      <c r="B345" s="294">
        <v>45880.0</v>
      </c>
      <c r="C345" s="295" t="s">
        <v>627</v>
      </c>
      <c r="D345" s="295"/>
      <c r="E345" s="298">
        <v>45880.0</v>
      </c>
      <c r="F345" s="295" t="s">
        <v>628</v>
      </c>
      <c r="G345" s="295" t="s">
        <v>303</v>
      </c>
      <c r="H345" s="295" t="s">
        <v>304</v>
      </c>
      <c r="I345" s="295" t="s">
        <v>305</v>
      </c>
      <c r="J345" s="296">
        <v>1.0</v>
      </c>
      <c r="K345" s="295" t="s">
        <v>196</v>
      </c>
      <c r="L345" s="269">
        <v>1016.0</v>
      </c>
      <c r="M345" s="296">
        <v>914.4</v>
      </c>
    </row>
    <row r="346">
      <c r="A346" s="264">
        <v>45870.0</v>
      </c>
      <c r="B346" s="294">
        <v>45880.0</v>
      </c>
      <c r="C346" s="295" t="s">
        <v>629</v>
      </c>
      <c r="D346" s="295"/>
      <c r="E346" s="298">
        <v>45880.0</v>
      </c>
      <c r="F346" s="295" t="s">
        <v>630</v>
      </c>
      <c r="G346" s="295" t="s">
        <v>303</v>
      </c>
      <c r="H346" s="295" t="s">
        <v>304</v>
      </c>
      <c r="I346" s="295" t="s">
        <v>305</v>
      </c>
      <c r="J346" s="296">
        <v>1.0</v>
      </c>
      <c r="K346" s="295" t="s">
        <v>196</v>
      </c>
      <c r="L346" s="269">
        <v>1016.0</v>
      </c>
      <c r="M346" s="299">
        <v>1016.0</v>
      </c>
    </row>
    <row r="347">
      <c r="A347" s="264">
        <v>45870.0</v>
      </c>
      <c r="B347" s="294">
        <v>45880.0</v>
      </c>
      <c r="C347" s="295" t="s">
        <v>631</v>
      </c>
      <c r="D347" s="295"/>
      <c r="E347" s="298">
        <v>45880.0</v>
      </c>
      <c r="F347" s="295" t="s">
        <v>632</v>
      </c>
      <c r="G347" s="295" t="s">
        <v>303</v>
      </c>
      <c r="H347" s="295" t="s">
        <v>304</v>
      </c>
      <c r="I347" s="295" t="s">
        <v>305</v>
      </c>
      <c r="J347" s="296">
        <v>1.0</v>
      </c>
      <c r="K347" s="295" t="s">
        <v>196</v>
      </c>
      <c r="L347" s="269">
        <v>1016.0</v>
      </c>
      <c r="M347" s="296">
        <v>914.4</v>
      </c>
    </row>
    <row r="348">
      <c r="A348" s="264">
        <v>45870.0</v>
      </c>
      <c r="B348" s="277">
        <v>45876.0</v>
      </c>
      <c r="C348" s="278" t="s">
        <v>532</v>
      </c>
      <c r="D348" s="278" t="s">
        <v>533</v>
      </c>
      <c r="E348" s="279">
        <v>45876.0</v>
      </c>
      <c r="F348" s="278" t="s">
        <v>633</v>
      </c>
      <c r="G348" s="278" t="s">
        <v>214</v>
      </c>
      <c r="H348" s="278" t="s">
        <v>410</v>
      </c>
      <c r="I348" s="278" t="s">
        <v>411</v>
      </c>
      <c r="J348" s="280">
        <v>3.0</v>
      </c>
      <c r="K348" s="278" t="s">
        <v>196</v>
      </c>
      <c r="L348" s="274">
        <v>400.0</v>
      </c>
      <c r="M348" s="281">
        <v>1200.0</v>
      </c>
    </row>
    <row r="349">
      <c r="A349" s="264">
        <v>45870.0</v>
      </c>
      <c r="B349" s="277">
        <v>45876.0</v>
      </c>
      <c r="C349" s="278" t="s">
        <v>591</v>
      </c>
      <c r="D349" s="278" t="s">
        <v>592</v>
      </c>
      <c r="E349" s="279">
        <v>45876.0</v>
      </c>
      <c r="F349" s="278" t="s">
        <v>634</v>
      </c>
      <c r="G349" s="278" t="s">
        <v>214</v>
      </c>
      <c r="H349" s="278" t="s">
        <v>410</v>
      </c>
      <c r="I349" s="278" t="s">
        <v>411</v>
      </c>
      <c r="J349" s="280">
        <v>1.0</v>
      </c>
      <c r="K349" s="278" t="s">
        <v>196</v>
      </c>
      <c r="L349" s="269">
        <v>1005.33</v>
      </c>
      <c r="M349" s="281">
        <v>1005.33</v>
      </c>
    </row>
    <row r="350">
      <c r="A350" s="264">
        <v>45870.0</v>
      </c>
      <c r="B350" s="277"/>
      <c r="C350" s="278"/>
      <c r="D350" s="278"/>
      <c r="E350" s="278"/>
      <c r="F350" s="278"/>
      <c r="G350" s="278" t="s">
        <v>214</v>
      </c>
      <c r="H350" s="278" t="s">
        <v>410</v>
      </c>
      <c r="I350" s="278" t="s">
        <v>411</v>
      </c>
      <c r="J350" s="280">
        <v>1.0</v>
      </c>
      <c r="K350" s="278" t="s">
        <v>196</v>
      </c>
      <c r="L350" s="269">
        <v>1002.68</v>
      </c>
      <c r="M350" s="281">
        <v>1002.68</v>
      </c>
    </row>
    <row r="351">
      <c r="A351" s="264">
        <v>45870.0</v>
      </c>
      <c r="B351" s="277"/>
      <c r="C351" s="278"/>
      <c r="D351" s="278"/>
      <c r="E351" s="278"/>
      <c r="F351" s="278"/>
      <c r="G351" s="278" t="s">
        <v>214</v>
      </c>
      <c r="H351" s="278" t="s">
        <v>410</v>
      </c>
      <c r="I351" s="278" t="s">
        <v>411</v>
      </c>
      <c r="J351" s="280">
        <v>1.0</v>
      </c>
      <c r="K351" s="278" t="s">
        <v>196</v>
      </c>
      <c r="L351" s="269">
        <v>1126.84</v>
      </c>
      <c r="M351" s="281">
        <v>1126.84</v>
      </c>
    </row>
    <row r="352">
      <c r="A352" s="264">
        <v>45870.0</v>
      </c>
      <c r="B352" s="277"/>
      <c r="C352" s="278"/>
      <c r="D352" s="278"/>
      <c r="E352" s="278"/>
      <c r="F352" s="278"/>
      <c r="G352" s="278" t="s">
        <v>214</v>
      </c>
      <c r="H352" s="278" t="s">
        <v>410</v>
      </c>
      <c r="I352" s="278" t="s">
        <v>411</v>
      </c>
      <c r="J352" s="280">
        <v>1.0</v>
      </c>
      <c r="K352" s="278" t="s">
        <v>196</v>
      </c>
      <c r="L352" s="274">
        <v>859.58</v>
      </c>
      <c r="M352" s="280">
        <v>859.58</v>
      </c>
    </row>
    <row r="353">
      <c r="A353" s="264">
        <v>45870.0</v>
      </c>
      <c r="B353" s="271"/>
      <c r="C353" s="272"/>
      <c r="D353" s="272"/>
      <c r="E353" s="272"/>
      <c r="F353" s="272"/>
      <c r="G353" s="272" t="s">
        <v>197</v>
      </c>
      <c r="H353" s="272" t="s">
        <v>198</v>
      </c>
      <c r="I353" s="272" t="s">
        <v>199</v>
      </c>
      <c r="J353" s="273">
        <v>1.0</v>
      </c>
      <c r="K353" s="272" t="s">
        <v>196</v>
      </c>
      <c r="L353" s="274">
        <v>350.0</v>
      </c>
      <c r="M353" s="273">
        <v>350.0</v>
      </c>
    </row>
    <row r="354">
      <c r="A354" s="264">
        <v>45870.0</v>
      </c>
      <c r="B354" s="271">
        <v>45876.0</v>
      </c>
      <c r="C354" s="272" t="s">
        <v>250</v>
      </c>
      <c r="D354" s="272" t="s">
        <v>251</v>
      </c>
      <c r="E354" s="275">
        <v>45876.0</v>
      </c>
      <c r="F354" s="272" t="s">
        <v>635</v>
      </c>
      <c r="G354" s="272" t="s">
        <v>197</v>
      </c>
      <c r="H354" s="282" t="s">
        <v>575</v>
      </c>
      <c r="I354" s="272" t="s">
        <v>204</v>
      </c>
      <c r="J354" s="273">
        <v>1.0</v>
      </c>
      <c r="K354" s="272" t="s">
        <v>196</v>
      </c>
      <c r="L354" s="269">
        <v>5500.0</v>
      </c>
      <c r="M354" s="276">
        <v>5500.0</v>
      </c>
    </row>
    <row r="355">
      <c r="A355" s="264">
        <v>45870.0</v>
      </c>
      <c r="B355" s="271"/>
      <c r="C355" s="272"/>
      <c r="D355" s="272"/>
      <c r="E355" s="272"/>
      <c r="F355" s="272"/>
      <c r="G355" s="272" t="s">
        <v>197</v>
      </c>
      <c r="H355" s="272" t="s">
        <v>439</v>
      </c>
      <c r="I355" s="272" t="s">
        <v>204</v>
      </c>
      <c r="J355" s="273">
        <v>2.0</v>
      </c>
      <c r="K355" s="272" t="s">
        <v>196</v>
      </c>
      <c r="L355" s="274">
        <v>250.0</v>
      </c>
      <c r="M355" s="273">
        <v>500.0</v>
      </c>
    </row>
    <row r="356">
      <c r="A356" s="264">
        <v>45870.0</v>
      </c>
      <c r="B356" s="271"/>
      <c r="C356" s="272"/>
      <c r="D356" s="272"/>
      <c r="E356" s="272"/>
      <c r="F356" s="272"/>
      <c r="G356" s="272" t="s">
        <v>197</v>
      </c>
      <c r="H356" s="272" t="s">
        <v>198</v>
      </c>
      <c r="I356" s="272" t="s">
        <v>199</v>
      </c>
      <c r="J356" s="273">
        <v>1.0</v>
      </c>
      <c r="K356" s="272" t="s">
        <v>196</v>
      </c>
      <c r="L356" s="274">
        <v>350.0</v>
      </c>
      <c r="M356" s="273">
        <v>350.0</v>
      </c>
    </row>
    <row r="357">
      <c r="A357" s="264">
        <v>45870.0</v>
      </c>
      <c r="B357" s="271">
        <v>45876.0</v>
      </c>
      <c r="C357" s="282" t="s">
        <v>636</v>
      </c>
      <c r="D357" s="272" t="s">
        <v>212</v>
      </c>
      <c r="E357" s="275">
        <v>45876.0</v>
      </c>
      <c r="F357" s="272" t="s">
        <v>637</v>
      </c>
      <c r="G357" s="272" t="s">
        <v>197</v>
      </c>
      <c r="H357" s="272" t="s">
        <v>231</v>
      </c>
      <c r="I357" s="272" t="s">
        <v>210</v>
      </c>
      <c r="J357" s="273">
        <v>6.0</v>
      </c>
      <c r="K357" s="272" t="s">
        <v>232</v>
      </c>
      <c r="L357" s="274">
        <v>250.0</v>
      </c>
      <c r="M357" s="276">
        <v>1500.0</v>
      </c>
    </row>
    <row r="358">
      <c r="A358" s="264">
        <v>45870.0</v>
      </c>
      <c r="B358" s="271"/>
      <c r="C358" s="272"/>
      <c r="D358" s="272"/>
      <c r="E358" s="272"/>
      <c r="F358" s="272"/>
      <c r="G358" s="272" t="s">
        <v>197</v>
      </c>
      <c r="H358" s="272"/>
      <c r="I358" s="272"/>
      <c r="J358" s="273">
        <v>0.0</v>
      </c>
      <c r="K358" s="272"/>
      <c r="L358" s="274">
        <v>0.0</v>
      </c>
      <c r="M358" s="273">
        <v>0.0</v>
      </c>
    </row>
    <row r="359">
      <c r="A359" s="264">
        <v>45870.0</v>
      </c>
      <c r="B359" s="271">
        <v>45875.0</v>
      </c>
      <c r="C359" s="272" t="s">
        <v>638</v>
      </c>
      <c r="D359" s="272" t="s">
        <v>639</v>
      </c>
      <c r="E359" s="275">
        <v>45875.0</v>
      </c>
      <c r="F359" s="272" t="s">
        <v>640</v>
      </c>
      <c r="G359" s="272" t="s">
        <v>197</v>
      </c>
      <c r="H359" s="272" t="s">
        <v>641</v>
      </c>
      <c r="I359" s="272" t="s">
        <v>210</v>
      </c>
      <c r="J359" s="273">
        <v>4.5</v>
      </c>
      <c r="K359" s="272" t="s">
        <v>232</v>
      </c>
      <c r="L359" s="274">
        <v>250.0</v>
      </c>
      <c r="M359" s="276">
        <v>1125.0</v>
      </c>
    </row>
    <row r="360">
      <c r="A360" s="264">
        <v>45870.0</v>
      </c>
      <c r="B360" s="271"/>
      <c r="C360" s="272"/>
      <c r="D360" s="272"/>
      <c r="E360" s="272"/>
      <c r="F360" s="272"/>
      <c r="G360" s="272" t="s">
        <v>197</v>
      </c>
      <c r="H360" s="272" t="s">
        <v>642</v>
      </c>
      <c r="I360" s="272" t="s">
        <v>643</v>
      </c>
      <c r="J360" s="273">
        <v>3.0</v>
      </c>
      <c r="K360" s="272" t="s">
        <v>196</v>
      </c>
      <c r="L360" s="274">
        <v>60.0</v>
      </c>
      <c r="M360" s="273">
        <v>180.0</v>
      </c>
    </row>
    <row r="361">
      <c r="A361" s="264">
        <v>45870.0</v>
      </c>
      <c r="B361" s="271"/>
      <c r="C361" s="272"/>
      <c r="D361" s="272"/>
      <c r="E361" s="272"/>
      <c r="F361" s="272"/>
      <c r="G361" s="272" t="s">
        <v>197</v>
      </c>
      <c r="H361" s="272"/>
      <c r="I361" s="272"/>
      <c r="J361" s="273">
        <v>0.0</v>
      </c>
      <c r="K361" s="272"/>
      <c r="L361" s="274">
        <v>0.0</v>
      </c>
      <c r="M361" s="273">
        <v>0.0</v>
      </c>
    </row>
    <row r="362">
      <c r="A362" s="264">
        <v>45870.0</v>
      </c>
      <c r="B362" s="294">
        <v>45875.0</v>
      </c>
      <c r="C362" s="295" t="s">
        <v>644</v>
      </c>
      <c r="D362" s="295"/>
      <c r="E362" s="298">
        <v>45875.0</v>
      </c>
      <c r="F362" s="295" t="s">
        <v>645</v>
      </c>
      <c r="G362" s="295" t="s">
        <v>303</v>
      </c>
      <c r="H362" s="295" t="s">
        <v>304</v>
      </c>
      <c r="I362" s="295" t="s">
        <v>305</v>
      </c>
      <c r="J362" s="296">
        <v>1.0</v>
      </c>
      <c r="K362" s="295" t="s">
        <v>196</v>
      </c>
      <c r="L362" s="269">
        <v>1016.0</v>
      </c>
      <c r="M362" s="296">
        <v>914.4</v>
      </c>
    </row>
    <row r="363">
      <c r="A363" s="264">
        <v>45870.0</v>
      </c>
      <c r="B363" s="294">
        <v>45875.0</v>
      </c>
      <c r="C363" s="295" t="s">
        <v>646</v>
      </c>
      <c r="D363" s="295"/>
      <c r="E363" s="298">
        <v>45875.0</v>
      </c>
      <c r="F363" s="295" t="s">
        <v>647</v>
      </c>
      <c r="G363" s="295" t="s">
        <v>303</v>
      </c>
      <c r="H363" s="295" t="s">
        <v>304</v>
      </c>
      <c r="I363" s="295" t="s">
        <v>305</v>
      </c>
      <c r="J363" s="296">
        <v>1.0</v>
      </c>
      <c r="K363" s="295" t="s">
        <v>196</v>
      </c>
      <c r="L363" s="269">
        <v>1016.0</v>
      </c>
      <c r="M363" s="296">
        <v>914.4</v>
      </c>
    </row>
    <row r="364">
      <c r="A364" s="264">
        <v>45870.0</v>
      </c>
      <c r="B364" s="294">
        <v>45875.0</v>
      </c>
      <c r="C364" s="295" t="s">
        <v>648</v>
      </c>
      <c r="D364" s="295"/>
      <c r="E364" s="298">
        <v>45875.0</v>
      </c>
      <c r="F364" s="295" t="s">
        <v>649</v>
      </c>
      <c r="G364" s="295" t="s">
        <v>303</v>
      </c>
      <c r="H364" s="295" t="s">
        <v>304</v>
      </c>
      <c r="I364" s="295" t="s">
        <v>305</v>
      </c>
      <c r="J364" s="296">
        <v>1.0</v>
      </c>
      <c r="K364" s="295" t="s">
        <v>196</v>
      </c>
      <c r="L364" s="269">
        <v>1016.0</v>
      </c>
      <c r="M364" s="296">
        <v>914.4</v>
      </c>
    </row>
    <row r="365">
      <c r="A365" s="264">
        <v>45870.0</v>
      </c>
      <c r="B365" s="294">
        <v>45875.0</v>
      </c>
      <c r="C365" s="295" t="s">
        <v>650</v>
      </c>
      <c r="D365" s="295"/>
      <c r="E365" s="298">
        <v>45875.0</v>
      </c>
      <c r="F365" s="295" t="s">
        <v>651</v>
      </c>
      <c r="G365" s="295" t="s">
        <v>303</v>
      </c>
      <c r="H365" s="295" t="s">
        <v>304</v>
      </c>
      <c r="I365" s="295" t="s">
        <v>305</v>
      </c>
      <c r="J365" s="296">
        <v>1.0</v>
      </c>
      <c r="K365" s="295" t="s">
        <v>196</v>
      </c>
      <c r="L365" s="269">
        <v>1016.0</v>
      </c>
      <c r="M365" s="299">
        <v>1016.0</v>
      </c>
    </row>
    <row r="366">
      <c r="A366" s="264">
        <v>45870.0</v>
      </c>
      <c r="B366" s="294">
        <v>45875.0</v>
      </c>
      <c r="C366" s="295" t="s">
        <v>652</v>
      </c>
      <c r="D366" s="295"/>
      <c r="E366" s="298">
        <v>45875.0</v>
      </c>
      <c r="F366" s="295" t="s">
        <v>653</v>
      </c>
      <c r="G366" s="295" t="s">
        <v>303</v>
      </c>
      <c r="H366" s="295" t="s">
        <v>304</v>
      </c>
      <c r="I366" s="295" t="s">
        <v>305</v>
      </c>
      <c r="J366" s="296">
        <v>1.0</v>
      </c>
      <c r="K366" s="295" t="s">
        <v>196</v>
      </c>
      <c r="L366" s="269">
        <v>1016.0</v>
      </c>
      <c r="M366" s="296">
        <v>914.4</v>
      </c>
    </row>
    <row r="367">
      <c r="A367" s="264">
        <v>45870.0</v>
      </c>
      <c r="B367" s="283">
        <v>45874.0</v>
      </c>
      <c r="C367" s="284" t="s">
        <v>654</v>
      </c>
      <c r="D367" s="284" t="s">
        <v>655</v>
      </c>
      <c r="E367" s="285">
        <v>45874.0</v>
      </c>
      <c r="F367" s="284" t="s">
        <v>656</v>
      </c>
      <c r="G367" s="284" t="s">
        <v>242</v>
      </c>
      <c r="H367" s="284" t="s">
        <v>657</v>
      </c>
      <c r="I367" s="284" t="s">
        <v>204</v>
      </c>
      <c r="J367" s="286">
        <v>1.0</v>
      </c>
      <c r="K367" s="284" t="s">
        <v>196</v>
      </c>
      <c r="L367" s="269">
        <v>295000.0</v>
      </c>
      <c r="M367" s="287">
        <v>295000.0</v>
      </c>
    </row>
    <row r="368">
      <c r="A368" s="264">
        <v>45870.0</v>
      </c>
      <c r="B368" s="271"/>
      <c r="C368" s="272"/>
      <c r="D368" s="272"/>
      <c r="E368" s="272"/>
      <c r="F368" s="272"/>
      <c r="G368" s="272" t="s">
        <v>197</v>
      </c>
      <c r="H368" s="272" t="s">
        <v>658</v>
      </c>
      <c r="I368" s="272" t="s">
        <v>204</v>
      </c>
      <c r="J368" s="273">
        <v>1.0</v>
      </c>
      <c r="K368" s="272" t="s">
        <v>196</v>
      </c>
      <c r="L368" s="269">
        <v>30000.0</v>
      </c>
      <c r="M368" s="276">
        <v>30000.0</v>
      </c>
    </row>
    <row r="369">
      <c r="A369" s="264">
        <v>45870.0</v>
      </c>
      <c r="B369" s="265"/>
      <c r="C369" s="266"/>
      <c r="D369" s="266"/>
      <c r="E369" s="266"/>
      <c r="F369" s="266"/>
      <c r="G369" s="266" t="s">
        <v>193</v>
      </c>
      <c r="H369" s="266" t="s">
        <v>248</v>
      </c>
      <c r="I369" s="266" t="s">
        <v>249</v>
      </c>
      <c r="J369" s="268">
        <v>3.0</v>
      </c>
      <c r="K369" s="266" t="s">
        <v>196</v>
      </c>
      <c r="L369" s="269">
        <v>1400.0</v>
      </c>
      <c r="M369" s="268">
        <v>0.0</v>
      </c>
    </row>
    <row r="370">
      <c r="A370" s="264">
        <v>45870.0</v>
      </c>
      <c r="B370" s="265"/>
      <c r="C370" s="266"/>
      <c r="D370" s="266"/>
      <c r="E370" s="266"/>
      <c r="F370" s="266"/>
      <c r="G370" s="266" t="s">
        <v>193</v>
      </c>
      <c r="H370" s="266" t="s">
        <v>194</v>
      </c>
      <c r="I370" s="266" t="s">
        <v>195</v>
      </c>
      <c r="J370" s="268">
        <v>2.0</v>
      </c>
      <c r="K370" s="266" t="s">
        <v>196</v>
      </c>
      <c r="L370" s="269">
        <v>1400.0</v>
      </c>
      <c r="M370" s="268">
        <v>0.0</v>
      </c>
    </row>
    <row r="371">
      <c r="A371" s="264">
        <v>45870.0</v>
      </c>
      <c r="B371" s="265"/>
      <c r="C371" s="266"/>
      <c r="D371" s="266"/>
      <c r="E371" s="266"/>
      <c r="F371" s="266"/>
      <c r="G371" s="266" t="s">
        <v>193</v>
      </c>
      <c r="H371" s="266" t="s">
        <v>659</v>
      </c>
      <c r="I371" s="266" t="s">
        <v>249</v>
      </c>
      <c r="J371" s="268">
        <v>1.0</v>
      </c>
      <c r="K371" s="266" t="s">
        <v>196</v>
      </c>
      <c r="L371" s="269">
        <v>1500.0</v>
      </c>
      <c r="M371" s="268">
        <v>0.0</v>
      </c>
    </row>
    <row r="372">
      <c r="A372" s="264">
        <v>45870.0</v>
      </c>
      <c r="B372" s="265"/>
      <c r="C372" s="266"/>
      <c r="D372" s="266"/>
      <c r="E372" s="266"/>
      <c r="F372" s="266"/>
      <c r="G372" s="266" t="s">
        <v>193</v>
      </c>
      <c r="H372" s="266" t="s">
        <v>492</v>
      </c>
      <c r="I372" s="266" t="s">
        <v>493</v>
      </c>
      <c r="J372" s="268">
        <v>1.0</v>
      </c>
      <c r="K372" s="266" t="s">
        <v>196</v>
      </c>
      <c r="L372" s="269">
        <v>1300.0</v>
      </c>
      <c r="M372" s="268">
        <v>0.0</v>
      </c>
    </row>
    <row r="373">
      <c r="A373" s="264">
        <v>45870.0</v>
      </c>
      <c r="B373" s="271"/>
      <c r="C373" s="272"/>
      <c r="D373" s="272"/>
      <c r="E373" s="272"/>
      <c r="F373" s="272"/>
      <c r="G373" s="272" t="s">
        <v>197</v>
      </c>
      <c r="H373" s="282" t="s">
        <v>660</v>
      </c>
      <c r="I373" s="272" t="s">
        <v>204</v>
      </c>
      <c r="J373" s="273">
        <v>1.0</v>
      </c>
      <c r="K373" s="272" t="s">
        <v>196</v>
      </c>
      <c r="L373" s="269">
        <v>5500.0</v>
      </c>
      <c r="M373" s="273">
        <v>0.0</v>
      </c>
    </row>
    <row r="374">
      <c r="A374" s="264">
        <v>45870.0</v>
      </c>
      <c r="B374" s="271"/>
      <c r="C374" s="272"/>
      <c r="D374" s="272"/>
      <c r="E374" s="272"/>
      <c r="F374" s="272"/>
      <c r="G374" s="272" t="s">
        <v>197</v>
      </c>
      <c r="H374" s="282" t="s">
        <v>661</v>
      </c>
      <c r="I374" s="272" t="s">
        <v>204</v>
      </c>
      <c r="J374" s="273">
        <v>1.0</v>
      </c>
      <c r="K374" s="272" t="s">
        <v>196</v>
      </c>
      <c r="L374" s="269">
        <v>5500.0</v>
      </c>
      <c r="M374" s="273">
        <v>0.0</v>
      </c>
    </row>
    <row r="375">
      <c r="A375" s="264">
        <v>45870.0</v>
      </c>
      <c r="B375" s="271"/>
      <c r="C375" s="272"/>
      <c r="D375" s="272"/>
      <c r="E375" s="272"/>
      <c r="F375" s="272"/>
      <c r="G375" s="272" t="s">
        <v>197</v>
      </c>
      <c r="H375" s="282" t="s">
        <v>575</v>
      </c>
      <c r="I375" s="272" t="s">
        <v>204</v>
      </c>
      <c r="J375" s="273">
        <v>1.0</v>
      </c>
      <c r="K375" s="272" t="s">
        <v>196</v>
      </c>
      <c r="L375" s="269">
        <v>5500.0</v>
      </c>
      <c r="M375" s="273">
        <v>0.0</v>
      </c>
    </row>
    <row r="376">
      <c r="A376" s="264">
        <v>45870.0</v>
      </c>
      <c r="B376" s="271"/>
      <c r="C376" s="272"/>
      <c r="D376" s="272"/>
      <c r="E376" s="272"/>
      <c r="F376" s="272"/>
      <c r="G376" s="272" t="s">
        <v>197</v>
      </c>
      <c r="H376" s="272" t="s">
        <v>198</v>
      </c>
      <c r="I376" s="272" t="s">
        <v>199</v>
      </c>
      <c r="J376" s="273">
        <v>1.0</v>
      </c>
      <c r="K376" s="272" t="s">
        <v>196</v>
      </c>
      <c r="L376" s="269">
        <v>10000.0</v>
      </c>
      <c r="M376" s="273">
        <v>0.0</v>
      </c>
    </row>
    <row r="377">
      <c r="A377" s="264">
        <v>45870.0</v>
      </c>
      <c r="B377" s="283">
        <v>45874.0</v>
      </c>
      <c r="C377" s="284" t="s">
        <v>662</v>
      </c>
      <c r="D377" s="284" t="s">
        <v>663</v>
      </c>
      <c r="E377" s="285">
        <v>45874.0</v>
      </c>
      <c r="F377" s="284" t="s">
        <v>664</v>
      </c>
      <c r="G377" s="284" t="s">
        <v>242</v>
      </c>
      <c r="H377" s="284" t="s">
        <v>665</v>
      </c>
      <c r="I377" s="284" t="s">
        <v>666</v>
      </c>
      <c r="J377" s="286">
        <v>1.0</v>
      </c>
      <c r="K377" s="284" t="s">
        <v>196</v>
      </c>
      <c r="L377" s="269">
        <v>345000.0</v>
      </c>
      <c r="M377" s="287">
        <v>293250.0</v>
      </c>
    </row>
    <row r="378">
      <c r="A378" s="264">
        <v>45870.0</v>
      </c>
      <c r="B378" s="283"/>
      <c r="C378" s="284"/>
      <c r="D378" s="284"/>
      <c r="E378" s="284"/>
      <c r="F378" s="284"/>
      <c r="G378" s="284" t="s">
        <v>242</v>
      </c>
      <c r="H378" s="284"/>
      <c r="I378" s="284"/>
      <c r="J378" s="286">
        <v>0.0</v>
      </c>
      <c r="K378" s="284"/>
      <c r="L378" s="274">
        <v>0.0</v>
      </c>
      <c r="M378" s="286">
        <v>0.0</v>
      </c>
    </row>
    <row r="379">
      <c r="A379" s="264">
        <v>45870.0</v>
      </c>
      <c r="B379" s="283"/>
      <c r="C379" s="284"/>
      <c r="D379" s="284"/>
      <c r="E379" s="284"/>
      <c r="F379" s="284"/>
      <c r="G379" s="284" t="s">
        <v>242</v>
      </c>
      <c r="H379" s="284" t="s">
        <v>396</v>
      </c>
      <c r="I379" s="284" t="s">
        <v>275</v>
      </c>
      <c r="J379" s="286">
        <v>2.0</v>
      </c>
      <c r="K379" s="284" t="s">
        <v>196</v>
      </c>
      <c r="L379" s="269">
        <v>60000.0</v>
      </c>
      <c r="M379" s="287">
        <v>102000.0</v>
      </c>
    </row>
    <row r="380">
      <c r="A380" s="264">
        <v>45870.0</v>
      </c>
      <c r="B380" s="283"/>
      <c r="C380" s="284"/>
      <c r="D380" s="284"/>
      <c r="E380" s="284"/>
      <c r="F380" s="284"/>
      <c r="G380" s="284" t="s">
        <v>242</v>
      </c>
      <c r="H380" s="284"/>
      <c r="I380" s="284"/>
      <c r="J380" s="286">
        <v>0.0</v>
      </c>
      <c r="K380" s="284"/>
      <c r="L380" s="274">
        <v>0.0</v>
      </c>
      <c r="M380" s="286">
        <v>0.0</v>
      </c>
    </row>
    <row r="381">
      <c r="A381" s="264">
        <v>45870.0</v>
      </c>
      <c r="B381" s="283"/>
      <c r="C381" s="284"/>
      <c r="D381" s="284"/>
      <c r="E381" s="284"/>
      <c r="F381" s="284"/>
      <c r="G381" s="284" t="s">
        <v>242</v>
      </c>
      <c r="H381" s="284" t="s">
        <v>396</v>
      </c>
      <c r="I381" s="284" t="s">
        <v>275</v>
      </c>
      <c r="J381" s="286">
        <v>2.0</v>
      </c>
      <c r="K381" s="284" t="s">
        <v>196</v>
      </c>
      <c r="L381" s="269">
        <v>100000.0</v>
      </c>
      <c r="M381" s="287">
        <v>170000.0</v>
      </c>
    </row>
    <row r="382">
      <c r="A382" s="264">
        <v>45870.0</v>
      </c>
      <c r="B382" s="283"/>
      <c r="C382" s="284"/>
      <c r="D382" s="284"/>
      <c r="E382" s="284"/>
      <c r="F382" s="284"/>
      <c r="G382" s="284" t="s">
        <v>242</v>
      </c>
      <c r="H382" s="284"/>
      <c r="I382" s="284"/>
      <c r="J382" s="286">
        <v>0.0</v>
      </c>
      <c r="K382" s="284"/>
      <c r="L382" s="274">
        <v>0.0</v>
      </c>
      <c r="M382" s="286">
        <v>0.0</v>
      </c>
    </row>
    <row r="383">
      <c r="A383" s="264">
        <v>45870.0</v>
      </c>
      <c r="B383" s="283"/>
      <c r="C383" s="284"/>
      <c r="D383" s="284"/>
      <c r="E383" s="284"/>
      <c r="F383" s="284"/>
      <c r="G383" s="284" t="s">
        <v>242</v>
      </c>
      <c r="H383" s="284" t="s">
        <v>665</v>
      </c>
      <c r="I383" s="284" t="s">
        <v>284</v>
      </c>
      <c r="J383" s="286">
        <v>1.0</v>
      </c>
      <c r="K383" s="284" t="s">
        <v>196</v>
      </c>
      <c r="L383" s="269">
        <v>20000.0</v>
      </c>
      <c r="M383" s="287">
        <v>17000.0</v>
      </c>
    </row>
    <row r="384">
      <c r="A384" s="264">
        <v>45870.0</v>
      </c>
      <c r="B384" s="283"/>
      <c r="C384" s="284"/>
      <c r="D384" s="284"/>
      <c r="E384" s="284"/>
      <c r="F384" s="284"/>
      <c r="G384" s="284" t="s">
        <v>242</v>
      </c>
      <c r="H384" s="284" t="s">
        <v>665</v>
      </c>
      <c r="I384" s="284" t="s">
        <v>199</v>
      </c>
      <c r="J384" s="286">
        <v>1.0</v>
      </c>
      <c r="K384" s="284" t="s">
        <v>196</v>
      </c>
      <c r="L384" s="269">
        <v>10970.0</v>
      </c>
      <c r="M384" s="287">
        <v>10970.0</v>
      </c>
    </row>
    <row r="385">
      <c r="A385" s="264">
        <v>45870.0</v>
      </c>
      <c r="B385" s="294">
        <v>45874.0</v>
      </c>
      <c r="C385" s="295" t="s">
        <v>667</v>
      </c>
      <c r="D385" s="295"/>
      <c r="E385" s="298">
        <v>45874.0</v>
      </c>
      <c r="F385" s="295" t="s">
        <v>668</v>
      </c>
      <c r="G385" s="295" t="s">
        <v>303</v>
      </c>
      <c r="H385" s="295" t="s">
        <v>304</v>
      </c>
      <c r="I385" s="295" t="s">
        <v>305</v>
      </c>
      <c r="J385" s="296">
        <v>2.0</v>
      </c>
      <c r="K385" s="295" t="s">
        <v>196</v>
      </c>
      <c r="L385" s="269">
        <v>1016.0</v>
      </c>
      <c r="M385" s="299">
        <v>1828.8</v>
      </c>
    </row>
    <row r="386">
      <c r="A386" s="264">
        <v>45870.0</v>
      </c>
      <c r="B386" s="294">
        <v>45874.0</v>
      </c>
      <c r="C386" s="295" t="s">
        <v>669</v>
      </c>
      <c r="D386" s="295" t="s">
        <v>670</v>
      </c>
      <c r="E386" s="298">
        <v>45874.0</v>
      </c>
      <c r="F386" s="295" t="s">
        <v>671</v>
      </c>
      <c r="G386" s="295" t="s">
        <v>303</v>
      </c>
      <c r="H386" s="295" t="s">
        <v>304</v>
      </c>
      <c r="I386" s="295" t="s">
        <v>305</v>
      </c>
      <c r="J386" s="296">
        <v>1.0</v>
      </c>
      <c r="K386" s="295" t="s">
        <v>196</v>
      </c>
      <c r="L386" s="269">
        <v>1016.0</v>
      </c>
      <c r="M386" s="296">
        <v>914.4</v>
      </c>
    </row>
    <row r="387">
      <c r="A387" s="264">
        <v>45870.0</v>
      </c>
      <c r="B387" s="294">
        <v>45874.0</v>
      </c>
      <c r="C387" s="295" t="s">
        <v>672</v>
      </c>
      <c r="D387" s="295"/>
      <c r="E387" s="298">
        <v>45874.0</v>
      </c>
      <c r="F387" s="295" t="s">
        <v>673</v>
      </c>
      <c r="G387" s="295" t="s">
        <v>303</v>
      </c>
      <c r="H387" s="295" t="s">
        <v>304</v>
      </c>
      <c r="I387" s="295" t="s">
        <v>305</v>
      </c>
      <c r="J387" s="296">
        <v>1.0</v>
      </c>
      <c r="K387" s="295" t="s">
        <v>196</v>
      </c>
      <c r="L387" s="269">
        <v>1016.0</v>
      </c>
      <c r="M387" s="296">
        <v>914.4</v>
      </c>
    </row>
    <row r="388">
      <c r="A388" s="264">
        <v>45870.0</v>
      </c>
      <c r="B388" s="277">
        <v>45873.0</v>
      </c>
      <c r="C388" s="278" t="s">
        <v>285</v>
      </c>
      <c r="D388" s="278" t="s">
        <v>286</v>
      </c>
      <c r="E388" s="279">
        <v>45873.0</v>
      </c>
      <c r="F388" s="278" t="s">
        <v>674</v>
      </c>
      <c r="G388" s="278" t="s">
        <v>214</v>
      </c>
      <c r="H388" s="278" t="s">
        <v>410</v>
      </c>
      <c r="I388" s="278" t="s">
        <v>411</v>
      </c>
      <c r="J388" s="280">
        <v>16.0</v>
      </c>
      <c r="K388" s="278" t="s">
        <v>196</v>
      </c>
      <c r="L388" s="274">
        <v>471.43</v>
      </c>
      <c r="M388" s="281">
        <v>7542.88</v>
      </c>
    </row>
    <row r="389">
      <c r="A389" s="264">
        <v>45870.0</v>
      </c>
      <c r="B389" s="271"/>
      <c r="C389" s="272"/>
      <c r="D389" s="272"/>
      <c r="E389" s="272"/>
      <c r="F389" s="272"/>
      <c r="G389" s="272" t="s">
        <v>197</v>
      </c>
      <c r="H389" s="272" t="s">
        <v>198</v>
      </c>
      <c r="I389" s="272" t="s">
        <v>199</v>
      </c>
      <c r="J389" s="273">
        <v>1.0</v>
      </c>
      <c r="K389" s="272" t="s">
        <v>196</v>
      </c>
      <c r="L389" s="274">
        <v>350.0</v>
      </c>
      <c r="M389" s="273">
        <v>350.0</v>
      </c>
    </row>
    <row r="390">
      <c r="A390" s="264">
        <v>45870.0</v>
      </c>
      <c r="B390" s="294">
        <v>45873.0</v>
      </c>
      <c r="C390" s="295" t="s">
        <v>675</v>
      </c>
      <c r="D390" s="295"/>
      <c r="E390" s="298">
        <v>45873.0</v>
      </c>
      <c r="F390" s="295" t="s">
        <v>676</v>
      </c>
      <c r="G390" s="295" t="s">
        <v>303</v>
      </c>
      <c r="H390" s="295" t="s">
        <v>304</v>
      </c>
      <c r="I390" s="295" t="s">
        <v>305</v>
      </c>
      <c r="J390" s="296">
        <v>1.0</v>
      </c>
      <c r="K390" s="295" t="s">
        <v>196</v>
      </c>
      <c r="L390" s="269">
        <v>1016.0</v>
      </c>
      <c r="M390" s="296">
        <v>914.4</v>
      </c>
    </row>
    <row r="391">
      <c r="A391" s="264">
        <v>45870.0</v>
      </c>
      <c r="B391" s="294">
        <v>45873.0</v>
      </c>
      <c r="C391" s="295" t="s">
        <v>677</v>
      </c>
      <c r="D391" s="295"/>
      <c r="E391" s="298">
        <v>45873.0</v>
      </c>
      <c r="F391" s="295" t="s">
        <v>678</v>
      </c>
      <c r="G391" s="295" t="s">
        <v>303</v>
      </c>
      <c r="H391" s="295" t="s">
        <v>304</v>
      </c>
      <c r="I391" s="295" t="s">
        <v>305</v>
      </c>
      <c r="J391" s="296">
        <v>1.0</v>
      </c>
      <c r="K391" s="295" t="s">
        <v>196</v>
      </c>
      <c r="L391" s="269">
        <v>1016.0</v>
      </c>
      <c r="M391" s="296">
        <v>914.4</v>
      </c>
    </row>
    <row r="392">
      <c r="A392" s="264">
        <v>45870.0</v>
      </c>
      <c r="B392" s="294">
        <v>45873.0</v>
      </c>
      <c r="C392" s="295" t="s">
        <v>679</v>
      </c>
      <c r="D392" s="295"/>
      <c r="E392" s="298">
        <v>45873.0</v>
      </c>
      <c r="F392" s="295" t="s">
        <v>680</v>
      </c>
      <c r="G392" s="295" t="s">
        <v>303</v>
      </c>
      <c r="H392" s="295" t="s">
        <v>304</v>
      </c>
      <c r="I392" s="295" t="s">
        <v>305</v>
      </c>
      <c r="J392" s="296">
        <v>1.0</v>
      </c>
      <c r="K392" s="295" t="s">
        <v>196</v>
      </c>
      <c r="L392" s="269">
        <v>1016.0</v>
      </c>
      <c r="M392" s="299">
        <v>1016.0</v>
      </c>
    </row>
    <row r="393">
      <c r="A393" s="264">
        <v>45870.0</v>
      </c>
      <c r="B393" s="294">
        <v>45873.0</v>
      </c>
      <c r="C393" s="295" t="s">
        <v>542</v>
      </c>
      <c r="D393" s="295"/>
      <c r="E393" s="298">
        <v>45873.0</v>
      </c>
      <c r="F393" s="295" t="s">
        <v>681</v>
      </c>
      <c r="G393" s="295" t="s">
        <v>303</v>
      </c>
      <c r="H393" s="295" t="s">
        <v>304</v>
      </c>
      <c r="I393" s="295" t="s">
        <v>305</v>
      </c>
      <c r="J393" s="296">
        <v>1.0</v>
      </c>
      <c r="K393" s="295" t="s">
        <v>196</v>
      </c>
      <c r="L393" s="269">
        <v>1016.0</v>
      </c>
      <c r="M393" s="296">
        <v>914.4</v>
      </c>
    </row>
    <row r="394">
      <c r="A394" s="264">
        <v>45870.0</v>
      </c>
      <c r="B394" s="294">
        <v>45873.0</v>
      </c>
      <c r="C394" s="295" t="s">
        <v>682</v>
      </c>
      <c r="D394" s="295"/>
      <c r="E394" s="298">
        <v>45873.0</v>
      </c>
      <c r="F394" s="295" t="s">
        <v>683</v>
      </c>
      <c r="G394" s="295" t="s">
        <v>303</v>
      </c>
      <c r="H394" s="295" t="s">
        <v>304</v>
      </c>
      <c r="I394" s="295" t="s">
        <v>305</v>
      </c>
      <c r="J394" s="296">
        <v>1.0</v>
      </c>
      <c r="K394" s="295" t="s">
        <v>196</v>
      </c>
      <c r="L394" s="269">
        <v>1016.0</v>
      </c>
      <c r="M394" s="299">
        <v>1016.0</v>
      </c>
    </row>
    <row r="395">
      <c r="A395" s="264">
        <v>45870.0</v>
      </c>
      <c r="B395" s="294">
        <v>45873.0</v>
      </c>
      <c r="C395" s="295" t="s">
        <v>684</v>
      </c>
      <c r="D395" s="295"/>
      <c r="E395" s="298">
        <v>45873.0</v>
      </c>
      <c r="F395" s="295" t="s">
        <v>685</v>
      </c>
      <c r="G395" s="295" t="s">
        <v>303</v>
      </c>
      <c r="H395" s="295" t="s">
        <v>304</v>
      </c>
      <c r="I395" s="295" t="s">
        <v>305</v>
      </c>
      <c r="J395" s="296">
        <v>1.0</v>
      </c>
      <c r="K395" s="295" t="s">
        <v>196</v>
      </c>
      <c r="L395" s="269">
        <v>1016.0</v>
      </c>
      <c r="M395" s="299">
        <v>1016.0</v>
      </c>
    </row>
    <row r="396">
      <c r="A396" s="264">
        <v>45870.0</v>
      </c>
      <c r="B396" s="294">
        <v>45873.0</v>
      </c>
      <c r="C396" s="295" t="s">
        <v>686</v>
      </c>
      <c r="D396" s="295"/>
      <c r="E396" s="298">
        <v>45873.0</v>
      </c>
      <c r="F396" s="295" t="s">
        <v>687</v>
      </c>
      <c r="G396" s="295" t="s">
        <v>303</v>
      </c>
      <c r="H396" s="295" t="s">
        <v>304</v>
      </c>
      <c r="I396" s="295" t="s">
        <v>305</v>
      </c>
      <c r="J396" s="296">
        <v>1.0</v>
      </c>
      <c r="K396" s="295" t="s">
        <v>196</v>
      </c>
      <c r="L396" s="269">
        <v>1016.0</v>
      </c>
      <c r="M396" s="296">
        <v>914.4</v>
      </c>
    </row>
    <row r="397">
      <c r="A397" s="264">
        <v>45870.0</v>
      </c>
      <c r="B397" s="277">
        <v>45870.0</v>
      </c>
      <c r="C397" s="278" t="s">
        <v>688</v>
      </c>
      <c r="D397" s="278" t="s">
        <v>689</v>
      </c>
      <c r="E397" s="279">
        <v>45870.0</v>
      </c>
      <c r="F397" s="278" t="s">
        <v>690</v>
      </c>
      <c r="G397" s="278" t="s">
        <v>214</v>
      </c>
      <c r="H397" s="278" t="s">
        <v>410</v>
      </c>
      <c r="I397" s="278" t="s">
        <v>411</v>
      </c>
      <c r="J397" s="280">
        <v>4.0</v>
      </c>
      <c r="K397" s="278" t="s">
        <v>196</v>
      </c>
      <c r="L397" s="274">
        <v>500.0</v>
      </c>
      <c r="M397" s="281">
        <v>1900.0</v>
      </c>
    </row>
    <row r="398">
      <c r="A398" s="264">
        <v>45870.0</v>
      </c>
      <c r="B398" s="277"/>
      <c r="C398" s="278"/>
      <c r="D398" s="278"/>
      <c r="E398" s="278"/>
      <c r="F398" s="278"/>
      <c r="G398" s="278" t="s">
        <v>214</v>
      </c>
      <c r="H398" s="278" t="s">
        <v>410</v>
      </c>
      <c r="I398" s="278" t="s">
        <v>411</v>
      </c>
      <c r="J398" s="280">
        <v>2.0</v>
      </c>
      <c r="K398" s="278" t="s">
        <v>196</v>
      </c>
      <c r="L398" s="269">
        <v>1250.0</v>
      </c>
      <c r="M398" s="281">
        <v>2375.0</v>
      </c>
    </row>
    <row r="399">
      <c r="A399" s="264">
        <v>45870.0</v>
      </c>
      <c r="B399" s="277"/>
      <c r="C399" s="278"/>
      <c r="D399" s="278"/>
      <c r="E399" s="278"/>
      <c r="F399" s="278"/>
      <c r="G399" s="278" t="s">
        <v>214</v>
      </c>
      <c r="H399" s="278" t="s">
        <v>410</v>
      </c>
      <c r="I399" s="278" t="s">
        <v>411</v>
      </c>
      <c r="J399" s="280">
        <v>2.0</v>
      </c>
      <c r="K399" s="278" t="s">
        <v>196</v>
      </c>
      <c r="L399" s="274">
        <v>300.0</v>
      </c>
      <c r="M399" s="280">
        <v>600.0</v>
      </c>
    </row>
    <row r="400">
      <c r="A400" s="264">
        <v>45870.0</v>
      </c>
      <c r="B400" s="277"/>
      <c r="C400" s="278"/>
      <c r="D400" s="278"/>
      <c r="E400" s="278"/>
      <c r="F400" s="278"/>
      <c r="G400" s="278" t="s">
        <v>214</v>
      </c>
      <c r="H400" s="278" t="s">
        <v>410</v>
      </c>
      <c r="I400" s="278" t="s">
        <v>411</v>
      </c>
      <c r="J400" s="280">
        <v>2.0</v>
      </c>
      <c r="K400" s="278" t="s">
        <v>196</v>
      </c>
      <c r="L400" s="274">
        <v>300.0</v>
      </c>
      <c r="M400" s="280">
        <v>600.0</v>
      </c>
    </row>
    <row r="401">
      <c r="A401" s="264">
        <v>45870.0</v>
      </c>
      <c r="B401" s="277"/>
      <c r="C401" s="278"/>
      <c r="D401" s="278"/>
      <c r="E401" s="278"/>
      <c r="F401" s="278"/>
      <c r="G401" s="278" t="s">
        <v>214</v>
      </c>
      <c r="H401" s="278" t="s">
        <v>410</v>
      </c>
      <c r="I401" s="278" t="s">
        <v>411</v>
      </c>
      <c r="J401" s="280">
        <v>2.0</v>
      </c>
      <c r="K401" s="278" t="s">
        <v>196</v>
      </c>
      <c r="L401" s="274">
        <v>300.0</v>
      </c>
      <c r="M401" s="280">
        <v>600.0</v>
      </c>
    </row>
    <row r="402">
      <c r="A402" s="264">
        <v>45870.0</v>
      </c>
      <c r="B402" s="277"/>
      <c r="C402" s="278"/>
      <c r="D402" s="278"/>
      <c r="E402" s="278"/>
      <c r="F402" s="278"/>
      <c r="G402" s="278" t="s">
        <v>214</v>
      </c>
      <c r="H402" s="278" t="s">
        <v>410</v>
      </c>
      <c r="I402" s="278" t="s">
        <v>411</v>
      </c>
      <c r="J402" s="280">
        <v>2.0</v>
      </c>
      <c r="K402" s="278" t="s">
        <v>196</v>
      </c>
      <c r="L402" s="274">
        <v>300.0</v>
      </c>
      <c r="M402" s="280">
        <v>600.0</v>
      </c>
    </row>
    <row r="403">
      <c r="A403" s="264">
        <v>45870.0</v>
      </c>
      <c r="B403" s="271"/>
      <c r="C403" s="272"/>
      <c r="D403" s="272"/>
      <c r="E403" s="272"/>
      <c r="F403" s="272"/>
      <c r="G403" s="272" t="s">
        <v>197</v>
      </c>
      <c r="H403" s="272" t="s">
        <v>198</v>
      </c>
      <c r="I403" s="272" t="s">
        <v>199</v>
      </c>
      <c r="J403" s="273">
        <v>1.0</v>
      </c>
      <c r="K403" s="272" t="s">
        <v>196</v>
      </c>
      <c r="L403" s="274">
        <v>500.0</v>
      </c>
      <c r="M403" s="273">
        <v>500.0</v>
      </c>
    </row>
    <row r="404">
      <c r="A404" s="264">
        <v>45870.0</v>
      </c>
      <c r="B404" s="271">
        <v>45870.0</v>
      </c>
      <c r="C404" s="272" t="s">
        <v>200</v>
      </c>
      <c r="D404" s="272" t="s">
        <v>201</v>
      </c>
      <c r="E404" s="275">
        <v>45870.0</v>
      </c>
      <c r="F404" s="272" t="s">
        <v>691</v>
      </c>
      <c r="G404" s="272" t="s">
        <v>197</v>
      </c>
      <c r="H404" s="282" t="s">
        <v>692</v>
      </c>
      <c r="I404" s="272" t="s">
        <v>204</v>
      </c>
      <c r="J404" s="273">
        <v>2.0</v>
      </c>
      <c r="K404" s="272" t="s">
        <v>196</v>
      </c>
      <c r="L404" s="269">
        <v>5999.0</v>
      </c>
      <c r="M404" s="276">
        <v>11398.1</v>
      </c>
    </row>
    <row r="405">
      <c r="A405" s="264">
        <v>45870.0</v>
      </c>
      <c r="B405" s="271"/>
      <c r="C405" s="272"/>
      <c r="D405" s="272"/>
      <c r="E405" s="272"/>
      <c r="F405" s="272"/>
      <c r="G405" s="272" t="s">
        <v>197</v>
      </c>
      <c r="H405" s="272" t="s">
        <v>198</v>
      </c>
      <c r="I405" s="272" t="s">
        <v>199</v>
      </c>
      <c r="J405" s="273">
        <v>1.0</v>
      </c>
      <c r="K405" s="272" t="s">
        <v>196</v>
      </c>
      <c r="L405" s="274">
        <v>350.0</v>
      </c>
      <c r="M405" s="273">
        <v>350.0</v>
      </c>
    </row>
    <row r="406">
      <c r="A406" s="264">
        <v>45870.0</v>
      </c>
      <c r="B406" s="294">
        <v>45870.0</v>
      </c>
      <c r="C406" s="295" t="s">
        <v>693</v>
      </c>
      <c r="D406" s="295"/>
      <c r="E406" s="298">
        <v>45870.0</v>
      </c>
      <c r="F406" s="295" t="s">
        <v>694</v>
      </c>
      <c r="G406" s="295" t="s">
        <v>303</v>
      </c>
      <c r="H406" s="295" t="s">
        <v>304</v>
      </c>
      <c r="I406" s="295" t="s">
        <v>305</v>
      </c>
      <c r="J406" s="296">
        <v>1.0</v>
      </c>
      <c r="K406" s="295" t="s">
        <v>196</v>
      </c>
      <c r="L406" s="269">
        <v>1016.0</v>
      </c>
      <c r="M406" s="299">
        <v>1016.0</v>
      </c>
    </row>
    <row r="407">
      <c r="A407" s="264">
        <v>45870.0</v>
      </c>
      <c r="B407" s="294">
        <v>45870.0</v>
      </c>
      <c r="C407" s="295" t="s">
        <v>695</v>
      </c>
      <c r="D407" s="295"/>
      <c r="E407" s="298">
        <v>45870.0</v>
      </c>
      <c r="F407" s="295" t="s">
        <v>696</v>
      </c>
      <c r="G407" s="295" t="s">
        <v>303</v>
      </c>
      <c r="H407" s="295" t="s">
        <v>304</v>
      </c>
      <c r="I407" s="295" t="s">
        <v>305</v>
      </c>
      <c r="J407" s="296">
        <v>1.0</v>
      </c>
      <c r="K407" s="295" t="s">
        <v>196</v>
      </c>
      <c r="L407" s="269">
        <v>1016.0</v>
      </c>
      <c r="M407" s="296">
        <v>914.4</v>
      </c>
    </row>
    <row r="408">
      <c r="A408" s="264">
        <v>45870.0</v>
      </c>
      <c r="B408" s="294">
        <v>45870.0</v>
      </c>
      <c r="C408" s="295" t="s">
        <v>697</v>
      </c>
      <c r="D408" s="295"/>
      <c r="E408" s="298">
        <v>45870.0</v>
      </c>
      <c r="F408" s="295" t="s">
        <v>698</v>
      </c>
      <c r="G408" s="295" t="s">
        <v>303</v>
      </c>
      <c r="H408" s="295" t="s">
        <v>304</v>
      </c>
      <c r="I408" s="295" t="s">
        <v>305</v>
      </c>
      <c r="J408" s="296">
        <v>1.0</v>
      </c>
      <c r="K408" s="295" t="s">
        <v>196</v>
      </c>
      <c r="L408" s="269">
        <v>1016.0</v>
      </c>
      <c r="M408" s="299">
        <v>1016.0</v>
      </c>
    </row>
    <row r="409">
      <c r="A409" s="264">
        <v>45870.0</v>
      </c>
      <c r="B409" s="294">
        <v>45870.0</v>
      </c>
      <c r="C409" s="295" t="s">
        <v>699</v>
      </c>
      <c r="D409" s="295"/>
      <c r="E409" s="298">
        <v>45870.0</v>
      </c>
      <c r="F409" s="295" t="s">
        <v>700</v>
      </c>
      <c r="G409" s="295" t="s">
        <v>303</v>
      </c>
      <c r="H409" s="295" t="s">
        <v>304</v>
      </c>
      <c r="I409" s="295" t="s">
        <v>305</v>
      </c>
      <c r="J409" s="296">
        <v>1.0</v>
      </c>
      <c r="K409" s="295" t="s">
        <v>196</v>
      </c>
      <c r="L409" s="269">
        <v>1016.0</v>
      </c>
      <c r="M409" s="299">
        <v>1016.0</v>
      </c>
    </row>
    <row r="410">
      <c r="A410" s="264">
        <v>45870.0</v>
      </c>
      <c r="B410" s="294">
        <v>45870.0</v>
      </c>
      <c r="C410" s="295" t="s">
        <v>701</v>
      </c>
      <c r="D410" s="295"/>
      <c r="E410" s="298">
        <v>45870.0</v>
      </c>
      <c r="F410" s="295" t="s">
        <v>702</v>
      </c>
      <c r="G410" s="295" t="s">
        <v>303</v>
      </c>
      <c r="H410" s="295" t="s">
        <v>487</v>
      </c>
      <c r="I410" s="295" t="s">
        <v>305</v>
      </c>
      <c r="J410" s="296">
        <v>1.0</v>
      </c>
      <c r="K410" s="295" t="s">
        <v>196</v>
      </c>
      <c r="L410" s="269">
        <v>1609.32</v>
      </c>
      <c r="M410" s="299">
        <v>1609.32</v>
      </c>
    </row>
    <row r="411">
      <c r="A411" s="264">
        <v>45870.0</v>
      </c>
      <c r="B411" s="294">
        <v>45870.0</v>
      </c>
      <c r="C411" s="295" t="s">
        <v>703</v>
      </c>
      <c r="D411" s="295"/>
      <c r="E411" s="298">
        <v>45870.0</v>
      </c>
      <c r="F411" s="295" t="s">
        <v>704</v>
      </c>
      <c r="G411" s="295" t="s">
        <v>303</v>
      </c>
      <c r="H411" s="295" t="s">
        <v>304</v>
      </c>
      <c r="I411" s="295" t="s">
        <v>305</v>
      </c>
      <c r="J411" s="296">
        <v>1.0</v>
      </c>
      <c r="K411" s="295" t="s">
        <v>196</v>
      </c>
      <c r="L411" s="269">
        <v>1016.0</v>
      </c>
      <c r="M411" s="299">
        <v>1016.0</v>
      </c>
    </row>
    <row r="412">
      <c r="A412" s="264">
        <v>45870.0</v>
      </c>
      <c r="B412" s="294">
        <v>45870.0</v>
      </c>
      <c r="C412" s="295" t="s">
        <v>705</v>
      </c>
      <c r="D412" s="295"/>
      <c r="E412" s="298">
        <v>45870.0</v>
      </c>
      <c r="F412" s="295" t="s">
        <v>706</v>
      </c>
      <c r="G412" s="295" t="s">
        <v>303</v>
      </c>
      <c r="H412" s="295" t="s">
        <v>304</v>
      </c>
      <c r="I412" s="295" t="s">
        <v>305</v>
      </c>
      <c r="J412" s="296">
        <v>1.0</v>
      </c>
      <c r="K412" s="295" t="s">
        <v>196</v>
      </c>
      <c r="L412" s="269">
        <v>1016.0</v>
      </c>
      <c r="M412" s="296">
        <v>914.4</v>
      </c>
    </row>
    <row r="413">
      <c r="A413" s="264">
        <v>45870.0</v>
      </c>
      <c r="B413" s="271">
        <v>45870.0</v>
      </c>
      <c r="C413" s="272" t="s">
        <v>200</v>
      </c>
      <c r="D413" s="272" t="s">
        <v>201</v>
      </c>
      <c r="E413" s="275">
        <v>45870.0</v>
      </c>
      <c r="F413" s="272" t="s">
        <v>707</v>
      </c>
      <c r="G413" s="272" t="s">
        <v>197</v>
      </c>
      <c r="H413" s="272" t="s">
        <v>457</v>
      </c>
      <c r="I413" s="272" t="s">
        <v>204</v>
      </c>
      <c r="J413" s="273">
        <v>2.0</v>
      </c>
      <c r="K413" s="272" t="s">
        <v>196</v>
      </c>
      <c r="L413" s="269">
        <v>1200.0</v>
      </c>
      <c r="M413" s="276">
        <v>2400.0</v>
      </c>
    </row>
    <row r="414">
      <c r="A414" s="264">
        <v>45870.0</v>
      </c>
      <c r="B414" s="271"/>
      <c r="C414" s="272"/>
      <c r="D414" s="272"/>
      <c r="E414" s="300"/>
      <c r="F414" s="272"/>
      <c r="G414" s="272" t="s">
        <v>197</v>
      </c>
      <c r="H414" s="272" t="s">
        <v>708</v>
      </c>
      <c r="I414" s="272" t="s">
        <v>204</v>
      </c>
      <c r="J414" s="273">
        <v>1.0</v>
      </c>
      <c r="K414" s="272" t="s">
        <v>196</v>
      </c>
      <c r="L414" s="269">
        <v>20000.0</v>
      </c>
      <c r="M414" s="276">
        <v>20000.0</v>
      </c>
    </row>
    <row r="415">
      <c r="A415" s="264">
        <v>45870.0</v>
      </c>
      <c r="B415" s="271"/>
      <c r="C415" s="272"/>
      <c r="D415" s="272"/>
      <c r="E415" s="300"/>
      <c r="F415" s="272"/>
      <c r="G415" s="272" t="s">
        <v>197</v>
      </c>
      <c r="H415" s="272" t="s">
        <v>227</v>
      </c>
      <c r="I415" s="272" t="s">
        <v>210</v>
      </c>
      <c r="J415" s="273">
        <v>1.0</v>
      </c>
      <c r="K415" s="272" t="s">
        <v>196</v>
      </c>
      <c r="L415" s="269">
        <v>4800.0</v>
      </c>
      <c r="M415" s="276">
        <v>4800.0</v>
      </c>
    </row>
    <row r="416">
      <c r="A416" s="264">
        <v>45870.0</v>
      </c>
      <c r="B416" s="271">
        <v>45892.0</v>
      </c>
      <c r="C416" s="272" t="s">
        <v>250</v>
      </c>
      <c r="D416" s="272" t="s">
        <v>251</v>
      </c>
      <c r="E416" s="300">
        <v>45892.0</v>
      </c>
      <c r="F416" s="272" t="s">
        <v>709</v>
      </c>
      <c r="G416" s="272" t="s">
        <v>197</v>
      </c>
      <c r="H416" s="282" t="s">
        <v>575</v>
      </c>
      <c r="I416" s="272">
        <v>8477.0</v>
      </c>
      <c r="J416" s="272">
        <v>1.0</v>
      </c>
      <c r="K416" s="272" t="s">
        <v>196</v>
      </c>
      <c r="L416" s="272">
        <v>5500.0</v>
      </c>
      <c r="M416" s="272">
        <v>5500.0</v>
      </c>
    </row>
    <row r="417">
      <c r="A417" s="264">
        <v>45870.0</v>
      </c>
      <c r="B417" s="271"/>
      <c r="C417" s="272"/>
      <c r="D417" s="272"/>
      <c r="E417" s="300"/>
      <c r="F417" s="272"/>
      <c r="G417" s="272" t="s">
        <v>197</v>
      </c>
      <c r="H417" s="272" t="s">
        <v>198</v>
      </c>
      <c r="I417" s="272">
        <v>9968.0</v>
      </c>
      <c r="J417" s="272">
        <v>1.0</v>
      </c>
      <c r="K417" s="272" t="s">
        <v>196</v>
      </c>
      <c r="L417" s="272">
        <v>350.0</v>
      </c>
      <c r="M417" s="272">
        <v>350.0</v>
      </c>
    </row>
    <row r="418">
      <c r="A418" s="264">
        <v>45870.0</v>
      </c>
      <c r="B418" s="294">
        <v>45892.0</v>
      </c>
      <c r="C418" s="295" t="s">
        <v>710</v>
      </c>
      <c r="D418" s="295"/>
      <c r="E418" s="301">
        <v>45892.0</v>
      </c>
      <c r="F418" s="295" t="s">
        <v>711</v>
      </c>
      <c r="G418" s="295" t="s">
        <v>303</v>
      </c>
      <c r="H418" s="295" t="s">
        <v>487</v>
      </c>
      <c r="I418" s="295">
        <v>3506.0</v>
      </c>
      <c r="J418" s="296">
        <v>1.0</v>
      </c>
      <c r="K418" s="295" t="s">
        <v>196</v>
      </c>
      <c r="L418" s="295">
        <v>1448.39</v>
      </c>
      <c r="M418" s="295">
        <v>1448.39</v>
      </c>
    </row>
    <row r="419">
      <c r="A419" s="264">
        <v>45870.0</v>
      </c>
      <c r="B419" s="271">
        <v>45892.0</v>
      </c>
      <c r="C419" s="272" t="s">
        <v>250</v>
      </c>
      <c r="D419" s="272" t="s">
        <v>251</v>
      </c>
      <c r="E419" s="300">
        <v>45892.0</v>
      </c>
      <c r="F419" s="272" t="s">
        <v>712</v>
      </c>
      <c r="G419" s="272" t="s">
        <v>197</v>
      </c>
      <c r="H419" s="272" t="s">
        <v>256</v>
      </c>
      <c r="I419" s="272">
        <v>8477.0</v>
      </c>
      <c r="J419" s="272">
        <v>1.0</v>
      </c>
      <c r="K419" s="272" t="s">
        <v>196</v>
      </c>
      <c r="L419" s="272">
        <v>1200.0</v>
      </c>
      <c r="M419" s="272">
        <v>1200.0</v>
      </c>
    </row>
    <row r="420">
      <c r="A420" s="264">
        <v>45870.0</v>
      </c>
      <c r="B420" s="271"/>
      <c r="C420" s="272"/>
      <c r="D420" s="272"/>
      <c r="E420" s="300"/>
      <c r="F420" s="272"/>
      <c r="G420" s="272" t="s">
        <v>197</v>
      </c>
      <c r="H420" s="272" t="s">
        <v>295</v>
      </c>
      <c r="I420" s="272"/>
      <c r="J420" s="272">
        <v>1.5</v>
      </c>
      <c r="K420" s="272" t="s">
        <v>205</v>
      </c>
      <c r="L420" s="272">
        <v>450.0</v>
      </c>
      <c r="M420" s="272">
        <v>450.0</v>
      </c>
    </row>
    <row r="421">
      <c r="A421" s="264">
        <v>45870.0</v>
      </c>
      <c r="B421" s="271"/>
      <c r="C421" s="272"/>
      <c r="D421" s="272"/>
      <c r="E421" s="300"/>
      <c r="F421" s="272"/>
      <c r="G421" s="272" t="s">
        <v>197</v>
      </c>
      <c r="H421" s="272" t="s">
        <v>198</v>
      </c>
      <c r="I421" s="272">
        <v>9968.0</v>
      </c>
      <c r="J421" s="272">
        <v>1.0</v>
      </c>
      <c r="K421" s="272" t="s">
        <v>196</v>
      </c>
      <c r="L421" s="272">
        <v>350.0</v>
      </c>
      <c r="M421" s="272">
        <v>350.0</v>
      </c>
    </row>
    <row r="422">
      <c r="A422" s="264">
        <v>45870.0</v>
      </c>
      <c r="B422" s="294">
        <v>45892.0</v>
      </c>
      <c r="C422" s="295" t="s">
        <v>713</v>
      </c>
      <c r="D422" s="295"/>
      <c r="E422" s="301">
        <v>45892.0</v>
      </c>
      <c r="F422" s="295" t="s">
        <v>714</v>
      </c>
      <c r="G422" s="295" t="s">
        <v>303</v>
      </c>
      <c r="H422" s="295" t="s">
        <v>304</v>
      </c>
      <c r="I422" s="295">
        <v>3506.0</v>
      </c>
      <c r="J422" s="296">
        <v>1.0</v>
      </c>
      <c r="K422" s="295" t="s">
        <v>196</v>
      </c>
      <c r="L422" s="295">
        <v>1016.1</v>
      </c>
      <c r="M422" s="295">
        <v>1016.1</v>
      </c>
    </row>
    <row r="423">
      <c r="A423" s="264">
        <v>45870.0</v>
      </c>
      <c r="B423" s="294">
        <v>45892.0</v>
      </c>
      <c r="C423" s="295" t="s">
        <v>715</v>
      </c>
      <c r="D423" s="295" t="s">
        <v>716</v>
      </c>
      <c r="E423" s="301">
        <v>45892.0</v>
      </c>
      <c r="F423" s="295" t="s">
        <v>717</v>
      </c>
      <c r="G423" s="295" t="s">
        <v>303</v>
      </c>
      <c r="H423" s="295" t="s">
        <v>487</v>
      </c>
      <c r="I423" s="295">
        <v>3506.0</v>
      </c>
      <c r="J423" s="296">
        <v>1.0</v>
      </c>
      <c r="K423" s="295" t="s">
        <v>196</v>
      </c>
      <c r="L423" s="295">
        <v>1609.32</v>
      </c>
      <c r="M423" s="295">
        <v>1609.32</v>
      </c>
    </row>
    <row r="424">
      <c r="A424" s="264">
        <v>45870.0</v>
      </c>
      <c r="B424" s="277">
        <v>45891.0</v>
      </c>
      <c r="C424" s="278" t="s">
        <v>415</v>
      </c>
      <c r="D424" s="278" t="s">
        <v>416</v>
      </c>
      <c r="E424" s="302">
        <v>45891.0</v>
      </c>
      <c r="F424" s="278" t="s">
        <v>718</v>
      </c>
      <c r="G424" s="278" t="s">
        <v>214</v>
      </c>
      <c r="H424" s="278" t="s">
        <v>410</v>
      </c>
      <c r="I424" s="278">
        <v>9989.0</v>
      </c>
      <c r="J424" s="278">
        <v>2.0</v>
      </c>
      <c r="K424" s="278" t="s">
        <v>196</v>
      </c>
      <c r="L424" s="278">
        <v>2530.0</v>
      </c>
      <c r="M424" s="278">
        <v>2530.0</v>
      </c>
    </row>
    <row r="425">
      <c r="A425" s="264">
        <v>45870.0</v>
      </c>
      <c r="B425" s="277"/>
      <c r="C425" s="278"/>
      <c r="D425" s="278"/>
      <c r="E425" s="302"/>
      <c r="F425" s="278"/>
      <c r="G425" s="278" t="s">
        <v>214</v>
      </c>
      <c r="H425" s="278" t="s">
        <v>410</v>
      </c>
      <c r="I425" s="278">
        <v>9989.0</v>
      </c>
      <c r="J425" s="278">
        <v>2.0</v>
      </c>
      <c r="K425" s="278" t="s">
        <v>196</v>
      </c>
      <c r="L425" s="278">
        <v>2530.0</v>
      </c>
      <c r="M425" s="278">
        <v>2530.0</v>
      </c>
    </row>
    <row r="426">
      <c r="A426" s="264">
        <v>45870.0</v>
      </c>
      <c r="B426" s="277"/>
      <c r="C426" s="278"/>
      <c r="D426" s="278"/>
      <c r="E426" s="302"/>
      <c r="F426" s="278"/>
      <c r="G426" s="278" t="s">
        <v>214</v>
      </c>
      <c r="H426" s="278" t="s">
        <v>410</v>
      </c>
      <c r="I426" s="278">
        <v>9989.0</v>
      </c>
      <c r="J426" s="278">
        <v>2.0</v>
      </c>
      <c r="K426" s="278" t="s">
        <v>196</v>
      </c>
      <c r="L426" s="278">
        <v>2530.0</v>
      </c>
      <c r="M426" s="278">
        <v>2530.0</v>
      </c>
    </row>
    <row r="427">
      <c r="A427" s="264">
        <v>45870.0</v>
      </c>
      <c r="B427" s="277">
        <v>45891.0</v>
      </c>
      <c r="C427" s="278" t="s">
        <v>415</v>
      </c>
      <c r="D427" s="278" t="s">
        <v>416</v>
      </c>
      <c r="E427" s="302">
        <v>45891.0</v>
      </c>
      <c r="F427" s="278" t="s">
        <v>719</v>
      </c>
      <c r="G427" s="278" t="s">
        <v>214</v>
      </c>
      <c r="H427" s="278" t="s">
        <v>410</v>
      </c>
      <c r="I427" s="278">
        <v>9989.0</v>
      </c>
      <c r="J427" s="278">
        <v>1.0</v>
      </c>
      <c r="K427" s="278" t="s">
        <v>196</v>
      </c>
      <c r="L427" s="278">
        <v>10500.0</v>
      </c>
      <c r="M427" s="278">
        <v>10500.0</v>
      </c>
    </row>
    <row r="428">
      <c r="A428" s="264">
        <v>45870.0</v>
      </c>
      <c r="B428" s="277"/>
      <c r="C428" s="278"/>
      <c r="D428" s="278"/>
      <c r="E428" s="302"/>
      <c r="F428" s="278"/>
      <c r="G428" s="278" t="s">
        <v>214</v>
      </c>
      <c r="H428" s="278" t="s">
        <v>410</v>
      </c>
      <c r="I428" s="278">
        <v>9989.0</v>
      </c>
      <c r="J428" s="278">
        <v>1.0</v>
      </c>
      <c r="K428" s="278" t="s">
        <v>196</v>
      </c>
      <c r="L428" s="278">
        <v>5750.0</v>
      </c>
      <c r="M428" s="278">
        <v>5750.0</v>
      </c>
    </row>
    <row r="429">
      <c r="A429" s="264">
        <v>45870.0</v>
      </c>
      <c r="B429" s="277"/>
      <c r="C429" s="278"/>
      <c r="D429" s="278"/>
      <c r="E429" s="302"/>
      <c r="F429" s="278"/>
      <c r="G429" s="278" t="s">
        <v>214</v>
      </c>
      <c r="H429" s="278" t="s">
        <v>410</v>
      </c>
      <c r="I429" s="278">
        <v>9989.0</v>
      </c>
      <c r="J429" s="278">
        <v>1.0</v>
      </c>
      <c r="K429" s="278" t="s">
        <v>196</v>
      </c>
      <c r="L429" s="278">
        <v>44750.0</v>
      </c>
      <c r="M429" s="278">
        <v>44750.0</v>
      </c>
    </row>
    <row r="430">
      <c r="A430" s="264">
        <v>45870.0</v>
      </c>
      <c r="B430" s="277"/>
      <c r="C430" s="278"/>
      <c r="D430" s="278"/>
      <c r="E430" s="302"/>
      <c r="F430" s="278"/>
      <c r="G430" s="278" t="s">
        <v>214</v>
      </c>
      <c r="H430" s="278" t="s">
        <v>410</v>
      </c>
      <c r="I430" s="278">
        <v>9989.0</v>
      </c>
      <c r="J430" s="278">
        <v>1.0</v>
      </c>
      <c r="K430" s="278" t="s">
        <v>196</v>
      </c>
      <c r="L430" s="278">
        <v>2950.0</v>
      </c>
      <c r="M430" s="278">
        <v>2950.0</v>
      </c>
    </row>
    <row r="431">
      <c r="A431" s="264">
        <v>45870.0</v>
      </c>
      <c r="B431" s="271"/>
      <c r="C431" s="272"/>
      <c r="D431" s="272"/>
      <c r="E431" s="300"/>
      <c r="F431" s="272"/>
      <c r="G431" s="272" t="s">
        <v>197</v>
      </c>
      <c r="H431" s="272" t="s">
        <v>198</v>
      </c>
      <c r="I431" s="272">
        <v>9968.0</v>
      </c>
      <c r="J431" s="272">
        <v>1.0</v>
      </c>
      <c r="K431" s="272" t="s">
        <v>196</v>
      </c>
      <c r="L431" s="272">
        <v>500.0</v>
      </c>
      <c r="M431" s="272">
        <v>500.0</v>
      </c>
    </row>
    <row r="432">
      <c r="A432" s="264">
        <v>45870.0</v>
      </c>
      <c r="B432" s="277">
        <v>45891.0</v>
      </c>
      <c r="C432" s="278" t="s">
        <v>415</v>
      </c>
      <c r="D432" s="278" t="s">
        <v>416</v>
      </c>
      <c r="E432" s="302">
        <v>45891.0</v>
      </c>
      <c r="F432" s="278" t="s">
        <v>720</v>
      </c>
      <c r="G432" s="278" t="s">
        <v>214</v>
      </c>
      <c r="H432" s="278" t="s">
        <v>410</v>
      </c>
      <c r="I432" s="278">
        <v>9989.0</v>
      </c>
      <c r="J432" s="278">
        <v>1.0</v>
      </c>
      <c r="K432" s="278" t="s">
        <v>196</v>
      </c>
      <c r="L432" s="278">
        <v>5880.0</v>
      </c>
      <c r="M432" s="278">
        <v>5880.0</v>
      </c>
    </row>
    <row r="433">
      <c r="A433" s="264">
        <v>45870.0</v>
      </c>
      <c r="B433" s="277"/>
      <c r="C433" s="278"/>
      <c r="D433" s="278"/>
      <c r="E433" s="302"/>
      <c r="F433" s="278"/>
      <c r="G433" s="278" t="s">
        <v>214</v>
      </c>
      <c r="H433" s="278" t="s">
        <v>410</v>
      </c>
      <c r="I433" s="278">
        <v>9989.0</v>
      </c>
      <c r="J433" s="278">
        <v>1.0</v>
      </c>
      <c r="K433" s="278" t="s">
        <v>196</v>
      </c>
      <c r="L433" s="278">
        <v>8130.0</v>
      </c>
      <c r="M433" s="278">
        <v>8130.0</v>
      </c>
    </row>
    <row r="434">
      <c r="A434" s="264">
        <v>45870.0</v>
      </c>
      <c r="B434" s="277"/>
      <c r="C434" s="278"/>
      <c r="D434" s="278"/>
      <c r="E434" s="302"/>
      <c r="F434" s="278"/>
      <c r="G434" s="278" t="s">
        <v>214</v>
      </c>
      <c r="H434" s="278" t="s">
        <v>410</v>
      </c>
      <c r="I434" s="278">
        <v>9989.0</v>
      </c>
      <c r="J434" s="278">
        <v>1.0</v>
      </c>
      <c r="K434" s="278" t="s">
        <v>196</v>
      </c>
      <c r="L434" s="278">
        <v>4710.0</v>
      </c>
      <c r="M434" s="278">
        <v>4710.0</v>
      </c>
    </row>
    <row r="435">
      <c r="A435" s="264">
        <v>45870.0</v>
      </c>
      <c r="B435" s="277"/>
      <c r="C435" s="278"/>
      <c r="D435" s="278"/>
      <c r="E435" s="302"/>
      <c r="F435" s="278"/>
      <c r="G435" s="278" t="s">
        <v>214</v>
      </c>
      <c r="H435" s="278" t="s">
        <v>410</v>
      </c>
      <c r="I435" s="278">
        <v>9989.0</v>
      </c>
      <c r="J435" s="278">
        <v>1.0</v>
      </c>
      <c r="K435" s="278" t="s">
        <v>196</v>
      </c>
      <c r="L435" s="278">
        <v>3700.0</v>
      </c>
      <c r="M435" s="278">
        <v>3700.0</v>
      </c>
    </row>
    <row r="436">
      <c r="A436" s="264">
        <v>45870.0</v>
      </c>
      <c r="B436" s="294">
        <v>45891.0</v>
      </c>
      <c r="C436" s="295" t="s">
        <v>482</v>
      </c>
      <c r="D436" s="295" t="s">
        <v>483</v>
      </c>
      <c r="E436" s="301">
        <v>45891.0</v>
      </c>
      <c r="F436" s="295" t="s">
        <v>721</v>
      </c>
      <c r="G436" s="295" t="s">
        <v>303</v>
      </c>
      <c r="H436" s="295" t="s">
        <v>304</v>
      </c>
      <c r="I436" s="295">
        <v>3506.0</v>
      </c>
      <c r="J436" s="296">
        <v>1.0</v>
      </c>
      <c r="K436" s="295" t="s">
        <v>196</v>
      </c>
      <c r="L436" s="295">
        <v>915.25</v>
      </c>
      <c r="M436" s="295">
        <v>915.25</v>
      </c>
    </row>
    <row r="437">
      <c r="A437" s="264">
        <v>45870.0</v>
      </c>
      <c r="B437" s="277">
        <v>45890.0</v>
      </c>
      <c r="C437" s="278" t="s">
        <v>270</v>
      </c>
      <c r="D437" s="278" t="s">
        <v>271</v>
      </c>
      <c r="E437" s="302">
        <v>45890.0</v>
      </c>
      <c r="F437" s="278" t="s">
        <v>722</v>
      </c>
      <c r="G437" s="278" t="s">
        <v>214</v>
      </c>
      <c r="H437" s="278" t="s">
        <v>410</v>
      </c>
      <c r="I437" s="278">
        <v>9989.0</v>
      </c>
      <c r="J437" s="278">
        <v>1.0</v>
      </c>
      <c r="K437" s="278" t="s">
        <v>196</v>
      </c>
      <c r="L437" s="278">
        <v>1179.0</v>
      </c>
      <c r="M437" s="278">
        <v>1179.0</v>
      </c>
    </row>
    <row r="438">
      <c r="A438" s="264">
        <v>45870.0</v>
      </c>
      <c r="B438" s="277"/>
      <c r="C438" s="278"/>
      <c r="D438" s="278"/>
      <c r="E438" s="302"/>
      <c r="F438" s="278"/>
      <c r="G438" s="278" t="s">
        <v>214</v>
      </c>
      <c r="H438" s="278" t="s">
        <v>410</v>
      </c>
      <c r="I438" s="278">
        <v>9989.0</v>
      </c>
      <c r="J438" s="278">
        <v>1.0</v>
      </c>
      <c r="K438" s="278" t="s">
        <v>196</v>
      </c>
      <c r="L438" s="278">
        <v>4433.0</v>
      </c>
      <c r="M438" s="278">
        <v>4433.0</v>
      </c>
    </row>
    <row r="439">
      <c r="A439" s="264">
        <v>45870.0</v>
      </c>
      <c r="B439" s="277"/>
      <c r="C439" s="278"/>
      <c r="D439" s="278"/>
      <c r="E439" s="302"/>
      <c r="F439" s="278"/>
      <c r="G439" s="278" t="s">
        <v>214</v>
      </c>
      <c r="H439" s="278" t="s">
        <v>410</v>
      </c>
      <c r="I439" s="278">
        <v>9989.0</v>
      </c>
      <c r="J439" s="278">
        <v>1.0</v>
      </c>
      <c r="K439" s="278" t="s">
        <v>196</v>
      </c>
      <c r="L439" s="278">
        <v>4458.0</v>
      </c>
      <c r="M439" s="278">
        <v>4458.0</v>
      </c>
    </row>
    <row r="440">
      <c r="A440" s="264">
        <v>45870.0</v>
      </c>
      <c r="B440" s="294">
        <v>45890.0</v>
      </c>
      <c r="C440" s="295" t="s">
        <v>723</v>
      </c>
      <c r="D440" s="295"/>
      <c r="E440" s="301">
        <v>45890.0</v>
      </c>
      <c r="F440" s="295" t="s">
        <v>724</v>
      </c>
      <c r="G440" s="295" t="s">
        <v>303</v>
      </c>
      <c r="H440" s="295" t="s">
        <v>304</v>
      </c>
      <c r="I440" s="295">
        <v>3506.0</v>
      </c>
      <c r="J440" s="296">
        <v>1.0</v>
      </c>
      <c r="K440" s="295" t="s">
        <v>196</v>
      </c>
      <c r="L440" s="295">
        <v>1016.94</v>
      </c>
      <c r="M440" s="295">
        <v>1016.94</v>
      </c>
    </row>
    <row r="441">
      <c r="A441" s="264">
        <v>45870.0</v>
      </c>
      <c r="B441" s="271">
        <v>45889.0</v>
      </c>
      <c r="C441" s="272" t="s">
        <v>200</v>
      </c>
      <c r="D441" s="272" t="s">
        <v>201</v>
      </c>
      <c r="E441" s="300">
        <v>45889.0</v>
      </c>
      <c r="F441" s="272" t="s">
        <v>725</v>
      </c>
      <c r="G441" s="272" t="s">
        <v>197</v>
      </c>
      <c r="H441" s="272" t="s">
        <v>312</v>
      </c>
      <c r="I441" s="272">
        <v>8477.0</v>
      </c>
      <c r="J441" s="272">
        <v>1.0</v>
      </c>
      <c r="K441" s="272" t="s">
        <v>196</v>
      </c>
      <c r="L441" s="272">
        <v>0.0</v>
      </c>
      <c r="M441" s="272">
        <v>0.0</v>
      </c>
    </row>
    <row r="442">
      <c r="A442" s="264">
        <v>45870.0</v>
      </c>
      <c r="B442" s="271"/>
      <c r="C442" s="272"/>
      <c r="D442" s="272"/>
      <c r="E442" s="300"/>
      <c r="F442" s="272"/>
      <c r="G442" s="272" t="s">
        <v>197</v>
      </c>
      <c r="H442" s="272" t="s">
        <v>726</v>
      </c>
      <c r="I442" s="272">
        <v>8477.0</v>
      </c>
      <c r="J442" s="272">
        <v>1.0</v>
      </c>
      <c r="K442" s="272" t="s">
        <v>196</v>
      </c>
      <c r="L442" s="272">
        <v>0.0</v>
      </c>
      <c r="M442" s="272">
        <v>0.0</v>
      </c>
    </row>
    <row r="443">
      <c r="A443" s="264">
        <v>45870.0</v>
      </c>
      <c r="B443" s="271"/>
      <c r="C443" s="272"/>
      <c r="D443" s="272"/>
      <c r="E443" s="300"/>
      <c r="F443" s="272"/>
      <c r="G443" s="272" t="s">
        <v>197</v>
      </c>
      <c r="H443" s="272" t="s">
        <v>727</v>
      </c>
      <c r="I443" s="272">
        <v>8477.0</v>
      </c>
      <c r="J443" s="272">
        <v>1.0</v>
      </c>
      <c r="K443" s="272" t="s">
        <v>196</v>
      </c>
      <c r="L443" s="272">
        <v>0.0</v>
      </c>
      <c r="M443" s="272">
        <v>0.0</v>
      </c>
    </row>
    <row r="444">
      <c r="A444" s="264">
        <v>45870.0</v>
      </c>
      <c r="B444" s="271"/>
      <c r="C444" s="272"/>
      <c r="D444" s="272"/>
      <c r="E444" s="300"/>
      <c r="F444" s="272"/>
      <c r="G444" s="272" t="s">
        <v>197</v>
      </c>
      <c r="H444" s="272" t="s">
        <v>198</v>
      </c>
      <c r="I444" s="272">
        <v>9968.0</v>
      </c>
      <c r="J444" s="272">
        <v>1.0</v>
      </c>
      <c r="K444" s="272" t="s">
        <v>196</v>
      </c>
      <c r="L444" s="272">
        <v>0.0</v>
      </c>
      <c r="M444" s="272">
        <v>0.0</v>
      </c>
    </row>
    <row r="445">
      <c r="A445" s="264">
        <v>45870.0</v>
      </c>
      <c r="B445" s="277">
        <v>45888.0</v>
      </c>
      <c r="C445" s="278" t="s">
        <v>591</v>
      </c>
      <c r="D445" s="278" t="s">
        <v>592</v>
      </c>
      <c r="E445" s="302">
        <v>45888.0</v>
      </c>
      <c r="F445" s="278" t="s">
        <v>728</v>
      </c>
      <c r="G445" s="278" t="s">
        <v>214</v>
      </c>
      <c r="H445" s="278" t="s">
        <v>410</v>
      </c>
      <c r="I445" s="278">
        <v>9989.0</v>
      </c>
      <c r="J445" s="278">
        <v>1.0</v>
      </c>
      <c r="K445" s="278" t="s">
        <v>196</v>
      </c>
      <c r="L445" s="278">
        <v>1005.33</v>
      </c>
      <c r="M445" s="278">
        <v>1005.33</v>
      </c>
    </row>
    <row r="446">
      <c r="A446" s="264">
        <v>45870.0</v>
      </c>
      <c r="B446" s="277"/>
      <c r="C446" s="278"/>
      <c r="D446" s="278"/>
      <c r="E446" s="302"/>
      <c r="F446" s="278"/>
      <c r="G446" s="278" t="s">
        <v>214</v>
      </c>
      <c r="H446" s="278" t="s">
        <v>410</v>
      </c>
      <c r="I446" s="278">
        <v>9989.0</v>
      </c>
      <c r="J446" s="278">
        <v>1.0</v>
      </c>
      <c r="K446" s="278" t="s">
        <v>196</v>
      </c>
      <c r="L446" s="278">
        <v>1002.68</v>
      </c>
      <c r="M446" s="278">
        <v>1002.68</v>
      </c>
    </row>
    <row r="447">
      <c r="A447" s="264">
        <v>45870.0</v>
      </c>
      <c r="B447" s="271"/>
      <c r="C447" s="272"/>
      <c r="D447" s="272"/>
      <c r="E447" s="300"/>
      <c r="F447" s="272"/>
      <c r="G447" s="272" t="s">
        <v>197</v>
      </c>
      <c r="H447" s="272" t="s">
        <v>198</v>
      </c>
      <c r="I447" s="272">
        <v>9968.0</v>
      </c>
      <c r="J447" s="272">
        <v>1.0</v>
      </c>
      <c r="K447" s="272" t="s">
        <v>196</v>
      </c>
      <c r="L447" s="272">
        <v>350.0</v>
      </c>
      <c r="M447" s="272">
        <v>350.0</v>
      </c>
    </row>
    <row r="448">
      <c r="A448" s="264">
        <v>45870.0</v>
      </c>
      <c r="B448" s="271">
        <v>45888.0</v>
      </c>
      <c r="C448" s="272" t="s">
        <v>729</v>
      </c>
      <c r="D448" s="272" t="s">
        <v>730</v>
      </c>
      <c r="E448" s="300">
        <v>45888.0</v>
      </c>
      <c r="F448" s="272" t="s">
        <v>731</v>
      </c>
      <c r="G448" s="272" t="s">
        <v>197</v>
      </c>
      <c r="H448" s="282" t="s">
        <v>219</v>
      </c>
      <c r="I448" s="272">
        <v>8477.0</v>
      </c>
      <c r="J448" s="272">
        <v>1.0</v>
      </c>
      <c r="K448" s="272" t="s">
        <v>196</v>
      </c>
      <c r="L448" s="272">
        <v>4500.0</v>
      </c>
      <c r="M448" s="272">
        <v>4500.0</v>
      </c>
    </row>
    <row r="449">
      <c r="A449" s="264">
        <v>45870.0</v>
      </c>
      <c r="B449" s="265">
        <v>45888.0</v>
      </c>
      <c r="C449" s="266" t="s">
        <v>279</v>
      </c>
      <c r="D449" s="266" t="s">
        <v>280</v>
      </c>
      <c r="E449" s="303">
        <v>45888.0</v>
      </c>
      <c r="F449" s="266" t="s">
        <v>732</v>
      </c>
      <c r="G449" s="266" t="s">
        <v>193</v>
      </c>
      <c r="H449" s="266" t="s">
        <v>248</v>
      </c>
      <c r="I449" s="266">
        <v>8443.0</v>
      </c>
      <c r="J449" s="266">
        <v>8.0</v>
      </c>
      <c r="K449" s="266" t="s">
        <v>196</v>
      </c>
      <c r="L449" s="266">
        <v>11200.0</v>
      </c>
      <c r="M449" s="266">
        <v>11200.0</v>
      </c>
    </row>
    <row r="450">
      <c r="A450" s="264">
        <v>45870.0</v>
      </c>
      <c r="B450" s="271"/>
      <c r="C450" s="272"/>
      <c r="D450" s="272"/>
      <c r="E450" s="300"/>
      <c r="F450" s="272"/>
      <c r="G450" s="272" t="s">
        <v>197</v>
      </c>
      <c r="H450" s="272" t="s">
        <v>198</v>
      </c>
      <c r="I450" s="272">
        <v>9968.0</v>
      </c>
      <c r="J450" s="272">
        <v>1.0</v>
      </c>
      <c r="K450" s="272" t="s">
        <v>196</v>
      </c>
      <c r="L450" s="272">
        <v>450.0</v>
      </c>
      <c r="M450" s="272">
        <v>450.0</v>
      </c>
    </row>
    <row r="451">
      <c r="A451" s="264">
        <v>45870.0</v>
      </c>
      <c r="B451" s="271">
        <v>45888.0</v>
      </c>
      <c r="C451" s="272" t="s">
        <v>733</v>
      </c>
      <c r="D451" s="272" t="s">
        <v>734</v>
      </c>
      <c r="E451" s="300">
        <v>45888.0</v>
      </c>
      <c r="F451" s="272" t="s">
        <v>735</v>
      </c>
      <c r="G451" s="288" t="s">
        <v>197</v>
      </c>
      <c r="H451" s="272" t="s">
        <v>597</v>
      </c>
      <c r="I451" s="272">
        <v>998719.0</v>
      </c>
      <c r="J451" s="272">
        <v>1.0</v>
      </c>
      <c r="K451" s="272" t="s">
        <v>598</v>
      </c>
      <c r="L451" s="272">
        <v>61740.0</v>
      </c>
      <c r="M451" s="272">
        <v>61740.0</v>
      </c>
    </row>
    <row r="452">
      <c r="A452" s="264">
        <v>45870.0</v>
      </c>
      <c r="B452" s="294">
        <v>45888.0</v>
      </c>
      <c r="C452" s="295" t="s">
        <v>736</v>
      </c>
      <c r="D452" s="295" t="s">
        <v>737</v>
      </c>
      <c r="E452" s="301">
        <v>45888.0</v>
      </c>
      <c r="F452" s="295" t="s">
        <v>738</v>
      </c>
      <c r="G452" s="295" t="s">
        <v>303</v>
      </c>
      <c r="H452" s="295" t="s">
        <v>487</v>
      </c>
      <c r="I452" s="295">
        <v>3506.0</v>
      </c>
      <c r="J452" s="296">
        <v>1.0</v>
      </c>
      <c r="K452" s="295" t="s">
        <v>196</v>
      </c>
      <c r="L452" s="295">
        <v>1609.32</v>
      </c>
      <c r="M452" s="295">
        <v>1609.32</v>
      </c>
    </row>
    <row r="453">
      <c r="A453" s="264">
        <v>45870.0</v>
      </c>
      <c r="B453" s="294">
        <v>45888.0</v>
      </c>
      <c r="C453" s="295" t="s">
        <v>739</v>
      </c>
      <c r="D453" s="295"/>
      <c r="E453" s="301">
        <v>45888.0</v>
      </c>
      <c r="F453" s="295" t="s">
        <v>740</v>
      </c>
      <c r="G453" s="295" t="s">
        <v>303</v>
      </c>
      <c r="H453" s="295" t="s">
        <v>304</v>
      </c>
      <c r="I453" s="295">
        <v>3506.0</v>
      </c>
      <c r="J453" s="296">
        <v>1.0</v>
      </c>
      <c r="K453" s="295" t="s">
        <v>196</v>
      </c>
      <c r="L453" s="295">
        <v>915.25</v>
      </c>
      <c r="M453" s="295">
        <v>915.25</v>
      </c>
    </row>
    <row r="454">
      <c r="A454" s="264">
        <v>45870.0</v>
      </c>
      <c r="B454" s="277">
        <v>45887.0</v>
      </c>
      <c r="C454" s="278" t="s">
        <v>741</v>
      </c>
      <c r="D454" s="278" t="s">
        <v>742</v>
      </c>
      <c r="E454" s="302">
        <v>45887.0</v>
      </c>
      <c r="F454" s="278" t="s">
        <v>743</v>
      </c>
      <c r="G454" s="278" t="s">
        <v>214</v>
      </c>
      <c r="H454" s="278" t="s">
        <v>410</v>
      </c>
      <c r="I454" s="278">
        <v>9989.0</v>
      </c>
      <c r="J454" s="278">
        <v>1.0</v>
      </c>
      <c r="K454" s="278" t="s">
        <v>196</v>
      </c>
      <c r="L454" s="278">
        <v>18021.5</v>
      </c>
      <c r="M454" s="278">
        <v>18021.5</v>
      </c>
    </row>
    <row r="455">
      <c r="A455" s="264">
        <v>45870.0</v>
      </c>
      <c r="B455" s="277"/>
      <c r="C455" s="278"/>
      <c r="D455" s="278"/>
      <c r="E455" s="302"/>
      <c r="F455" s="278"/>
      <c r="G455" s="278" t="s">
        <v>214</v>
      </c>
      <c r="H455" s="278" t="s">
        <v>410</v>
      </c>
      <c r="I455" s="278">
        <v>9989.0</v>
      </c>
      <c r="J455" s="278">
        <v>1.0</v>
      </c>
      <c r="K455" s="278" t="s">
        <v>196</v>
      </c>
      <c r="L455" s="278">
        <v>18094.34</v>
      </c>
      <c r="M455" s="278">
        <v>18094.34</v>
      </c>
    </row>
    <row r="456">
      <c r="A456" s="264">
        <v>45870.0</v>
      </c>
      <c r="B456" s="271"/>
      <c r="C456" s="272"/>
      <c r="D456" s="272"/>
      <c r="E456" s="300"/>
      <c r="F456" s="272"/>
      <c r="G456" s="272" t="s">
        <v>197</v>
      </c>
      <c r="H456" s="272" t="s">
        <v>198</v>
      </c>
      <c r="I456" s="272">
        <v>9968.0</v>
      </c>
      <c r="J456" s="272">
        <v>1.0</v>
      </c>
      <c r="K456" s="272" t="s">
        <v>196</v>
      </c>
      <c r="L456" s="272">
        <v>350.0</v>
      </c>
      <c r="M456" s="272">
        <v>350.0</v>
      </c>
    </row>
    <row r="457">
      <c r="A457" s="264">
        <v>45870.0</v>
      </c>
      <c r="B457" s="277">
        <v>45887.0</v>
      </c>
      <c r="C457" s="304" t="s">
        <v>744</v>
      </c>
      <c r="D457" s="278" t="s">
        <v>432</v>
      </c>
      <c r="E457" s="302">
        <v>45887.0</v>
      </c>
      <c r="F457" s="278" t="s">
        <v>745</v>
      </c>
      <c r="G457" s="278" t="s">
        <v>214</v>
      </c>
      <c r="H457" s="278" t="s">
        <v>410</v>
      </c>
      <c r="I457" s="278">
        <v>9989.0</v>
      </c>
      <c r="J457" s="278">
        <v>4.0</v>
      </c>
      <c r="K457" s="278" t="s">
        <v>196</v>
      </c>
      <c r="L457" s="278">
        <v>59480.0</v>
      </c>
      <c r="M457" s="278">
        <v>59480.0</v>
      </c>
    </row>
    <row r="458">
      <c r="A458" s="264">
        <v>45870.0</v>
      </c>
      <c r="B458" s="277"/>
      <c r="C458" s="278"/>
      <c r="D458" s="278"/>
      <c r="E458" s="302"/>
      <c r="F458" s="278"/>
      <c r="G458" s="278" t="s">
        <v>214</v>
      </c>
      <c r="H458" s="278" t="s">
        <v>410</v>
      </c>
      <c r="I458" s="278">
        <v>9989.0</v>
      </c>
      <c r="J458" s="278">
        <v>4.0</v>
      </c>
      <c r="K458" s="278" t="s">
        <v>196</v>
      </c>
      <c r="L458" s="278">
        <v>59480.0</v>
      </c>
      <c r="M458" s="278">
        <v>59480.0</v>
      </c>
    </row>
    <row r="459">
      <c r="A459" s="264">
        <v>45870.0</v>
      </c>
      <c r="B459" s="277"/>
      <c r="C459" s="278"/>
      <c r="D459" s="278"/>
      <c r="E459" s="302"/>
      <c r="F459" s="278"/>
      <c r="G459" s="278" t="s">
        <v>214</v>
      </c>
      <c r="H459" s="278" t="s">
        <v>410</v>
      </c>
      <c r="I459" s="278">
        <v>9989.0</v>
      </c>
      <c r="J459" s="278">
        <v>4.0</v>
      </c>
      <c r="K459" s="278" t="s">
        <v>196</v>
      </c>
      <c r="L459" s="278">
        <v>51936.0</v>
      </c>
      <c r="M459" s="278">
        <v>51936.0</v>
      </c>
    </row>
    <row r="460">
      <c r="A460" s="264">
        <v>45870.0</v>
      </c>
      <c r="B460" s="277"/>
      <c r="C460" s="278"/>
      <c r="D460" s="278"/>
      <c r="E460" s="302"/>
      <c r="F460" s="278"/>
      <c r="G460" s="278" t="s">
        <v>214</v>
      </c>
      <c r="H460" s="278" t="s">
        <v>410</v>
      </c>
      <c r="I460" s="278">
        <v>9989.0</v>
      </c>
      <c r="J460" s="278">
        <v>4.0</v>
      </c>
      <c r="K460" s="278" t="s">
        <v>196</v>
      </c>
      <c r="L460" s="278">
        <v>51936.0</v>
      </c>
      <c r="M460" s="278">
        <v>51936.0</v>
      </c>
    </row>
    <row r="461">
      <c r="A461" s="264">
        <v>45870.0</v>
      </c>
      <c r="B461" s="271"/>
      <c r="C461" s="272"/>
      <c r="D461" s="272"/>
      <c r="E461" s="300"/>
      <c r="F461" s="272"/>
      <c r="G461" s="272" t="s">
        <v>197</v>
      </c>
      <c r="H461" s="272" t="s">
        <v>198</v>
      </c>
      <c r="I461" s="272">
        <v>9968.0</v>
      </c>
      <c r="J461" s="272">
        <v>1.0</v>
      </c>
      <c r="K461" s="272" t="s">
        <v>196</v>
      </c>
      <c r="L461" s="272">
        <v>750.0</v>
      </c>
      <c r="M461" s="272">
        <v>750.0</v>
      </c>
    </row>
    <row r="462">
      <c r="A462" s="264">
        <v>45870.0</v>
      </c>
      <c r="B462" s="294">
        <v>45887.0</v>
      </c>
      <c r="C462" s="295" t="s">
        <v>746</v>
      </c>
      <c r="D462" s="295"/>
      <c r="E462" s="301">
        <v>45887.0</v>
      </c>
      <c r="F462" s="295" t="s">
        <v>747</v>
      </c>
      <c r="G462" s="295" t="s">
        <v>303</v>
      </c>
      <c r="H462" s="295" t="s">
        <v>304</v>
      </c>
      <c r="I462" s="295">
        <v>3506.0</v>
      </c>
      <c r="J462" s="296">
        <v>1.0</v>
      </c>
      <c r="K462" s="295" t="s">
        <v>196</v>
      </c>
      <c r="L462" s="295">
        <v>915.25</v>
      </c>
      <c r="M462" s="295">
        <v>915.25</v>
      </c>
    </row>
    <row r="463">
      <c r="A463" s="264">
        <v>45870.0</v>
      </c>
      <c r="B463" s="294">
        <v>45887.0</v>
      </c>
      <c r="C463" s="295" t="s">
        <v>748</v>
      </c>
      <c r="D463" s="295"/>
      <c r="E463" s="301">
        <v>45887.0</v>
      </c>
      <c r="F463" s="295" t="s">
        <v>749</v>
      </c>
      <c r="G463" s="295" t="s">
        <v>303</v>
      </c>
      <c r="H463" s="295" t="s">
        <v>304</v>
      </c>
      <c r="I463" s="295">
        <v>3506.0</v>
      </c>
      <c r="J463" s="296">
        <v>1.0</v>
      </c>
      <c r="K463" s="295" t="s">
        <v>196</v>
      </c>
      <c r="L463" s="295">
        <v>1016.94</v>
      </c>
      <c r="M463" s="295">
        <v>1016.94</v>
      </c>
    </row>
    <row r="464">
      <c r="A464" s="264">
        <v>45870.0</v>
      </c>
      <c r="B464" s="294">
        <v>45885.0</v>
      </c>
      <c r="C464" s="295" t="s">
        <v>750</v>
      </c>
      <c r="D464" s="295"/>
      <c r="E464" s="301">
        <v>45885.0</v>
      </c>
      <c r="F464" s="295" t="s">
        <v>751</v>
      </c>
      <c r="G464" s="295" t="s">
        <v>303</v>
      </c>
      <c r="H464" s="295" t="s">
        <v>487</v>
      </c>
      <c r="I464" s="295">
        <v>3506.0</v>
      </c>
      <c r="J464" s="296">
        <v>1.0</v>
      </c>
      <c r="K464" s="295" t="s">
        <v>196</v>
      </c>
      <c r="L464" s="295">
        <v>1609.32</v>
      </c>
      <c r="M464" s="295">
        <v>1609.32</v>
      </c>
    </row>
    <row r="465">
      <c r="A465" s="264">
        <v>45870.0</v>
      </c>
      <c r="B465" s="294">
        <v>45885.0</v>
      </c>
      <c r="C465" s="295" t="s">
        <v>495</v>
      </c>
      <c r="D465" s="295"/>
      <c r="E465" s="301">
        <v>45885.0</v>
      </c>
      <c r="F465" s="295" t="s">
        <v>752</v>
      </c>
      <c r="G465" s="295" t="s">
        <v>303</v>
      </c>
      <c r="H465" s="295" t="s">
        <v>304</v>
      </c>
      <c r="I465" s="295">
        <v>3506.0</v>
      </c>
      <c r="J465" s="296">
        <v>1.0</v>
      </c>
      <c r="K465" s="295" t="s">
        <v>196</v>
      </c>
      <c r="L465" s="295">
        <v>915.25</v>
      </c>
      <c r="M465" s="295">
        <v>915.25</v>
      </c>
    </row>
    <row r="466">
      <c r="A466" s="264">
        <v>45870.0</v>
      </c>
      <c r="B466" s="294">
        <v>45885.0</v>
      </c>
      <c r="C466" s="295" t="s">
        <v>753</v>
      </c>
      <c r="D466" s="295"/>
      <c r="E466" s="301">
        <v>45885.0</v>
      </c>
      <c r="F466" s="295" t="s">
        <v>754</v>
      </c>
      <c r="G466" s="295" t="s">
        <v>303</v>
      </c>
      <c r="H466" s="295" t="s">
        <v>304</v>
      </c>
      <c r="I466" s="295">
        <v>3506.0</v>
      </c>
      <c r="J466" s="296">
        <v>1.0</v>
      </c>
      <c r="K466" s="295" t="s">
        <v>196</v>
      </c>
      <c r="L466" s="295">
        <v>915.25</v>
      </c>
      <c r="M466" s="295">
        <v>915.25</v>
      </c>
    </row>
    <row r="467">
      <c r="A467" s="264">
        <v>45870.0</v>
      </c>
      <c r="B467" s="283">
        <v>45899.0</v>
      </c>
      <c r="C467" s="284" t="s">
        <v>263</v>
      </c>
      <c r="D467" s="284" t="s">
        <v>264</v>
      </c>
      <c r="E467" s="305">
        <v>45899.0</v>
      </c>
      <c r="F467" s="284" t="s">
        <v>755</v>
      </c>
      <c r="G467" s="284" t="s">
        <v>242</v>
      </c>
      <c r="H467" s="284" t="s">
        <v>756</v>
      </c>
      <c r="I467" s="284">
        <v>8477.0</v>
      </c>
      <c r="J467" s="284">
        <v>1.0</v>
      </c>
      <c r="K467" s="284" t="s">
        <v>196</v>
      </c>
      <c r="L467" s="284">
        <v>55000.0</v>
      </c>
      <c r="M467" s="284">
        <v>55000.0</v>
      </c>
    </row>
    <row r="468">
      <c r="A468" s="264">
        <v>45870.0</v>
      </c>
      <c r="B468" s="283"/>
      <c r="C468" s="284"/>
      <c r="D468" s="284"/>
      <c r="E468" s="305"/>
      <c r="F468" s="284"/>
      <c r="G468" s="284" t="s">
        <v>242</v>
      </c>
      <c r="H468" s="284" t="s">
        <v>198</v>
      </c>
      <c r="I468" s="284">
        <v>9968.0</v>
      </c>
      <c r="J468" s="284">
        <v>1.0</v>
      </c>
      <c r="K468" s="284" t="s">
        <v>196</v>
      </c>
      <c r="L468" s="284">
        <v>2500.0</v>
      </c>
      <c r="M468" s="284">
        <v>2500.0</v>
      </c>
    </row>
    <row r="469">
      <c r="A469" s="264">
        <v>45870.0</v>
      </c>
      <c r="B469" s="271">
        <v>45899.0</v>
      </c>
      <c r="C469" s="282" t="s">
        <v>757</v>
      </c>
      <c r="D469" s="272" t="s">
        <v>758</v>
      </c>
      <c r="E469" s="300">
        <v>45899.0</v>
      </c>
      <c r="F469" s="272" t="s">
        <v>759</v>
      </c>
      <c r="G469" s="272" t="s">
        <v>197</v>
      </c>
      <c r="H469" s="272" t="s">
        <v>312</v>
      </c>
      <c r="I469" s="272">
        <v>8477.0</v>
      </c>
      <c r="J469" s="272">
        <v>1.0</v>
      </c>
      <c r="K469" s="272" t="s">
        <v>196</v>
      </c>
      <c r="L469" s="272">
        <v>200.0</v>
      </c>
      <c r="M469" s="272">
        <v>200.0</v>
      </c>
    </row>
    <row r="470">
      <c r="A470" s="264">
        <v>45870.0</v>
      </c>
      <c r="B470" s="271"/>
      <c r="C470" s="272"/>
      <c r="D470" s="272"/>
      <c r="E470" s="300"/>
      <c r="F470" s="272"/>
      <c r="G470" s="272" t="s">
        <v>197</v>
      </c>
      <c r="H470" s="272" t="s">
        <v>401</v>
      </c>
      <c r="I470" s="272">
        <v>8477.0</v>
      </c>
      <c r="J470" s="272">
        <v>1.0</v>
      </c>
      <c r="K470" s="272" t="s">
        <v>196</v>
      </c>
      <c r="L470" s="272">
        <v>1600.0</v>
      </c>
      <c r="M470" s="272">
        <v>1600.0</v>
      </c>
    </row>
    <row r="471">
      <c r="A471" s="264">
        <v>45870.0</v>
      </c>
      <c r="B471" s="271"/>
      <c r="C471" s="272"/>
      <c r="D471" s="272"/>
      <c r="E471" s="300"/>
      <c r="F471" s="272"/>
      <c r="G471" s="272" t="s">
        <v>197</v>
      </c>
      <c r="H471" s="272" t="s">
        <v>198</v>
      </c>
      <c r="I471" s="272">
        <v>9968.0</v>
      </c>
      <c r="J471" s="272">
        <v>1.0</v>
      </c>
      <c r="K471" s="272" t="s">
        <v>196</v>
      </c>
      <c r="L471" s="272">
        <v>500.0</v>
      </c>
      <c r="M471" s="272">
        <v>500.0</v>
      </c>
    </row>
    <row r="472">
      <c r="A472" s="264">
        <v>45870.0</v>
      </c>
      <c r="B472" s="277">
        <v>45898.0</v>
      </c>
      <c r="C472" s="302" t="s">
        <v>760</v>
      </c>
      <c r="D472" s="302" t="s">
        <v>761</v>
      </c>
      <c r="E472" s="302">
        <v>45898.0</v>
      </c>
      <c r="F472" s="302" t="s">
        <v>762</v>
      </c>
      <c r="G472" s="302" t="s">
        <v>214</v>
      </c>
      <c r="H472" s="302" t="s">
        <v>410</v>
      </c>
      <c r="I472" s="278">
        <v>9989.0</v>
      </c>
      <c r="J472" s="278">
        <v>1.0</v>
      </c>
      <c r="K472" s="302" t="s">
        <v>196</v>
      </c>
      <c r="L472" s="302">
        <v>1885.05</v>
      </c>
      <c r="M472" s="278">
        <v>1885.05</v>
      </c>
    </row>
    <row r="473">
      <c r="A473" s="264">
        <v>45870.0</v>
      </c>
      <c r="B473" s="277">
        <v>45898.0</v>
      </c>
      <c r="C473" s="302" t="s">
        <v>763</v>
      </c>
      <c r="D473" s="302" t="s">
        <v>286</v>
      </c>
      <c r="E473" s="302">
        <v>45898.0</v>
      </c>
      <c r="F473" s="302" t="s">
        <v>764</v>
      </c>
      <c r="G473" s="302" t="s">
        <v>214</v>
      </c>
      <c r="H473" s="302" t="s">
        <v>410</v>
      </c>
      <c r="I473" s="278">
        <v>9989.0</v>
      </c>
      <c r="J473" s="278">
        <v>1.0</v>
      </c>
      <c r="K473" s="302" t="s">
        <v>196</v>
      </c>
      <c r="L473" s="302">
        <v>140.0</v>
      </c>
      <c r="M473" s="278">
        <v>140.0</v>
      </c>
    </row>
    <row r="474">
      <c r="A474" s="264">
        <v>45870.0</v>
      </c>
      <c r="B474" s="277"/>
      <c r="C474" s="302"/>
      <c r="D474" s="302"/>
      <c r="E474" s="302"/>
      <c r="F474" s="302"/>
      <c r="G474" s="302" t="s">
        <v>214</v>
      </c>
      <c r="H474" s="302" t="s">
        <v>410</v>
      </c>
      <c r="I474" s="278">
        <v>9989.0</v>
      </c>
      <c r="J474" s="278">
        <v>1.0</v>
      </c>
      <c r="K474" s="302" t="s">
        <v>196</v>
      </c>
      <c r="L474" s="302">
        <v>140.0</v>
      </c>
      <c r="M474" s="278">
        <v>140.0</v>
      </c>
    </row>
    <row r="475">
      <c r="A475" s="264">
        <v>45870.0</v>
      </c>
      <c r="B475" s="277"/>
      <c r="C475" s="302"/>
      <c r="D475" s="302"/>
      <c r="E475" s="302"/>
      <c r="F475" s="302"/>
      <c r="G475" s="302" t="s">
        <v>214</v>
      </c>
      <c r="H475" s="302" t="s">
        <v>410</v>
      </c>
      <c r="I475" s="278">
        <v>9989.0</v>
      </c>
      <c r="J475" s="278">
        <v>1.0</v>
      </c>
      <c r="K475" s="302" t="s">
        <v>196</v>
      </c>
      <c r="L475" s="302">
        <v>140.0</v>
      </c>
      <c r="M475" s="278">
        <v>140.0</v>
      </c>
    </row>
    <row r="476">
      <c r="A476" s="264">
        <v>45870.0</v>
      </c>
      <c r="B476" s="277"/>
      <c r="C476" s="302"/>
      <c r="D476" s="302"/>
      <c r="E476" s="302"/>
      <c r="F476" s="302"/>
      <c r="G476" s="302" t="s">
        <v>214</v>
      </c>
      <c r="H476" s="302" t="s">
        <v>410</v>
      </c>
      <c r="I476" s="278">
        <v>9989.0</v>
      </c>
      <c r="J476" s="278">
        <v>1.0</v>
      </c>
      <c r="K476" s="302" t="s">
        <v>196</v>
      </c>
      <c r="L476" s="302">
        <v>140.0</v>
      </c>
      <c r="M476" s="278">
        <v>140.0</v>
      </c>
    </row>
    <row r="477">
      <c r="A477" s="264">
        <v>45870.0</v>
      </c>
      <c r="B477" s="271"/>
      <c r="C477" s="272"/>
      <c r="D477" s="272"/>
      <c r="E477" s="300"/>
      <c r="F477" s="272"/>
      <c r="G477" s="272" t="s">
        <v>197</v>
      </c>
      <c r="H477" s="272" t="s">
        <v>198</v>
      </c>
      <c r="I477" s="272">
        <v>9968.0</v>
      </c>
      <c r="J477" s="272">
        <v>1.0</v>
      </c>
      <c r="K477" s="272" t="s">
        <v>196</v>
      </c>
      <c r="L477" s="272">
        <v>350.0</v>
      </c>
      <c r="M477" s="272">
        <v>350.0</v>
      </c>
    </row>
    <row r="478">
      <c r="A478" s="264">
        <v>45870.0</v>
      </c>
      <c r="B478" s="277">
        <v>45898.0</v>
      </c>
      <c r="C478" s="302" t="s">
        <v>765</v>
      </c>
      <c r="D478" s="302" t="s">
        <v>766</v>
      </c>
      <c r="E478" s="302">
        <v>45898.0</v>
      </c>
      <c r="F478" s="302" t="s">
        <v>767</v>
      </c>
      <c r="G478" s="302" t="s">
        <v>214</v>
      </c>
      <c r="H478" s="302" t="s">
        <v>410</v>
      </c>
      <c r="I478" s="278">
        <v>9989.0</v>
      </c>
      <c r="J478" s="278">
        <v>1.0</v>
      </c>
      <c r="K478" s="302" t="s">
        <v>196</v>
      </c>
      <c r="L478" s="302">
        <v>2200.0</v>
      </c>
      <c r="M478" s="278">
        <v>0.0</v>
      </c>
    </row>
    <row r="479">
      <c r="A479" s="264">
        <v>45870.0</v>
      </c>
      <c r="B479" s="277"/>
      <c r="C479" s="302"/>
      <c r="D479" s="302"/>
      <c r="E479" s="302"/>
      <c r="F479" s="302"/>
      <c r="G479" s="302" t="s">
        <v>214</v>
      </c>
      <c r="H479" s="302" t="s">
        <v>410</v>
      </c>
      <c r="I479" s="278">
        <v>9989.0</v>
      </c>
      <c r="J479" s="278">
        <v>1.0</v>
      </c>
      <c r="K479" s="302" t="s">
        <v>196</v>
      </c>
      <c r="L479" s="302">
        <v>1095.0</v>
      </c>
      <c r="M479" s="278">
        <v>1095.0</v>
      </c>
    </row>
    <row r="480">
      <c r="A480" s="264">
        <v>45870.0</v>
      </c>
      <c r="B480" s="271"/>
      <c r="C480" s="272"/>
      <c r="D480" s="272"/>
      <c r="E480" s="300"/>
      <c r="F480" s="272"/>
      <c r="G480" s="272" t="s">
        <v>197</v>
      </c>
      <c r="H480" s="272" t="s">
        <v>198</v>
      </c>
      <c r="I480" s="272">
        <v>9968.0</v>
      </c>
      <c r="J480" s="272">
        <v>1.0</v>
      </c>
      <c r="K480" s="272" t="s">
        <v>196</v>
      </c>
      <c r="L480" s="272">
        <v>350.0</v>
      </c>
      <c r="M480" s="272">
        <v>350.0</v>
      </c>
    </row>
    <row r="481">
      <c r="A481" s="264">
        <v>45870.0</v>
      </c>
      <c r="B481" s="294">
        <v>45898.0</v>
      </c>
      <c r="C481" s="295" t="s">
        <v>672</v>
      </c>
      <c r="D481" s="295"/>
      <c r="E481" s="301">
        <v>45898.0</v>
      </c>
      <c r="F481" s="295" t="s">
        <v>768</v>
      </c>
      <c r="G481" s="295" t="s">
        <v>303</v>
      </c>
      <c r="H481" s="295" t="s">
        <v>487</v>
      </c>
      <c r="I481" s="295">
        <v>3506.0</v>
      </c>
      <c r="J481" s="296">
        <v>1.0</v>
      </c>
      <c r="K481" s="295" t="s">
        <v>196</v>
      </c>
      <c r="L481" s="295">
        <v>1609.32</v>
      </c>
      <c r="M481" s="295">
        <v>1448.39</v>
      </c>
    </row>
    <row r="482">
      <c r="A482" s="264">
        <v>45870.0</v>
      </c>
      <c r="B482" s="294">
        <v>45898.0</v>
      </c>
      <c r="C482" s="295" t="s">
        <v>769</v>
      </c>
      <c r="D482" s="295"/>
      <c r="E482" s="301">
        <v>45898.0</v>
      </c>
      <c r="F482" s="295" t="s">
        <v>770</v>
      </c>
      <c r="G482" s="295" t="s">
        <v>303</v>
      </c>
      <c r="H482" s="295" t="s">
        <v>304</v>
      </c>
      <c r="I482" s="295">
        <v>3506.0</v>
      </c>
      <c r="J482" s="296">
        <v>1.0</v>
      </c>
      <c r="K482" s="295" t="s">
        <v>196</v>
      </c>
      <c r="L482" s="295">
        <v>1016.1</v>
      </c>
      <c r="M482" s="295">
        <v>1016.1</v>
      </c>
    </row>
    <row r="483">
      <c r="A483" s="264">
        <v>45870.0</v>
      </c>
      <c r="B483" s="294">
        <v>45898.0</v>
      </c>
      <c r="C483" s="295" t="s">
        <v>771</v>
      </c>
      <c r="D483" s="295"/>
      <c r="E483" s="301">
        <v>45898.0</v>
      </c>
      <c r="F483" s="295" t="s">
        <v>772</v>
      </c>
      <c r="G483" s="295" t="s">
        <v>303</v>
      </c>
      <c r="H483" s="295" t="s">
        <v>487</v>
      </c>
      <c r="I483" s="295">
        <v>3506.0</v>
      </c>
      <c r="J483" s="296">
        <v>1.0</v>
      </c>
      <c r="K483" s="295" t="s">
        <v>196</v>
      </c>
      <c r="L483" s="295">
        <v>1609.32</v>
      </c>
      <c r="M483" s="295">
        <v>1448.39</v>
      </c>
    </row>
    <row r="484">
      <c r="A484" s="264">
        <v>45870.0</v>
      </c>
      <c r="B484" s="294">
        <v>45897.0</v>
      </c>
      <c r="C484" s="295" t="s">
        <v>773</v>
      </c>
      <c r="D484" s="295"/>
      <c r="E484" s="301">
        <v>45897.0</v>
      </c>
      <c r="F484" s="295" t="s">
        <v>774</v>
      </c>
      <c r="G484" s="295" t="s">
        <v>303</v>
      </c>
      <c r="H484" s="295" t="s">
        <v>304</v>
      </c>
      <c r="I484" s="295">
        <v>3506.0</v>
      </c>
      <c r="J484" s="296">
        <v>1.0</v>
      </c>
      <c r="K484" s="295" t="s">
        <v>196</v>
      </c>
      <c r="L484" s="295">
        <v>1016.1</v>
      </c>
      <c r="M484" s="295">
        <v>914.49</v>
      </c>
    </row>
    <row r="485">
      <c r="A485" s="264">
        <v>45870.0</v>
      </c>
      <c r="B485" s="294">
        <v>45897.0</v>
      </c>
      <c r="C485" s="295" t="s">
        <v>775</v>
      </c>
      <c r="D485" s="295"/>
      <c r="E485" s="301">
        <v>45897.0</v>
      </c>
      <c r="F485" s="295" t="s">
        <v>776</v>
      </c>
      <c r="G485" s="295" t="s">
        <v>303</v>
      </c>
      <c r="H485" s="295" t="s">
        <v>487</v>
      </c>
      <c r="I485" s="295">
        <v>3506.0</v>
      </c>
      <c r="J485" s="296">
        <v>1.0</v>
      </c>
      <c r="K485" s="295" t="s">
        <v>196</v>
      </c>
      <c r="L485" s="295">
        <v>1609.32</v>
      </c>
      <c r="M485" s="295">
        <v>1609.32</v>
      </c>
    </row>
    <row r="486">
      <c r="A486" s="264">
        <v>45870.0</v>
      </c>
      <c r="B486" s="294">
        <v>45897.0</v>
      </c>
      <c r="C486" s="295" t="s">
        <v>777</v>
      </c>
      <c r="D486" s="295"/>
      <c r="E486" s="301">
        <v>45897.0</v>
      </c>
      <c r="F486" s="295" t="s">
        <v>778</v>
      </c>
      <c r="G486" s="295" t="s">
        <v>303</v>
      </c>
      <c r="H486" s="295" t="s">
        <v>304</v>
      </c>
      <c r="I486" s="295">
        <v>3506.0</v>
      </c>
      <c r="J486" s="296">
        <v>1.0</v>
      </c>
      <c r="K486" s="295" t="s">
        <v>196</v>
      </c>
      <c r="L486" s="295">
        <v>1016.1</v>
      </c>
      <c r="M486" s="295">
        <v>1016.1</v>
      </c>
    </row>
    <row r="487">
      <c r="A487" s="264">
        <v>45870.0</v>
      </c>
      <c r="B487" s="294">
        <v>45897.0</v>
      </c>
      <c r="C487" s="295" t="s">
        <v>779</v>
      </c>
      <c r="D487" s="295"/>
      <c r="E487" s="301">
        <v>45897.0</v>
      </c>
      <c r="F487" s="295" t="s">
        <v>780</v>
      </c>
      <c r="G487" s="295" t="s">
        <v>303</v>
      </c>
      <c r="H487" s="295" t="s">
        <v>304</v>
      </c>
      <c r="I487" s="295">
        <v>3506.0</v>
      </c>
      <c r="J487" s="296">
        <v>1.0</v>
      </c>
      <c r="K487" s="295" t="s">
        <v>196</v>
      </c>
      <c r="L487" s="295">
        <v>1016.1</v>
      </c>
      <c r="M487" s="295">
        <v>914.49</v>
      </c>
    </row>
    <row r="488">
      <c r="A488" s="264">
        <v>45870.0</v>
      </c>
      <c r="B488" s="294">
        <v>45897.0</v>
      </c>
      <c r="C488" s="295" t="s">
        <v>781</v>
      </c>
      <c r="D488" s="295" t="s">
        <v>782</v>
      </c>
      <c r="E488" s="301">
        <v>45897.0</v>
      </c>
      <c r="F488" s="295" t="s">
        <v>783</v>
      </c>
      <c r="G488" s="295" t="s">
        <v>303</v>
      </c>
      <c r="H488" s="295" t="s">
        <v>487</v>
      </c>
      <c r="I488" s="295">
        <v>3506.0</v>
      </c>
      <c r="J488" s="296">
        <v>1.0</v>
      </c>
      <c r="K488" s="295" t="s">
        <v>196</v>
      </c>
      <c r="L488" s="295">
        <v>1609.32</v>
      </c>
      <c r="M488" s="295">
        <v>1448.39</v>
      </c>
    </row>
    <row r="489">
      <c r="A489" s="264">
        <v>45870.0</v>
      </c>
      <c r="B489" s="294">
        <v>45897.0</v>
      </c>
      <c r="C489" s="295" t="s">
        <v>784</v>
      </c>
      <c r="D489" s="295"/>
      <c r="E489" s="301">
        <v>45897.0</v>
      </c>
      <c r="F489" s="295" t="s">
        <v>785</v>
      </c>
      <c r="G489" s="295" t="s">
        <v>303</v>
      </c>
      <c r="H489" s="295" t="s">
        <v>304</v>
      </c>
      <c r="I489" s="295">
        <v>3506.0</v>
      </c>
      <c r="J489" s="296">
        <v>1.0</v>
      </c>
      <c r="K489" s="295" t="s">
        <v>196</v>
      </c>
      <c r="L489" s="295">
        <v>1016.1</v>
      </c>
      <c r="M489" s="295">
        <v>1016.1</v>
      </c>
    </row>
    <row r="490">
      <c r="A490" s="264">
        <v>45870.0</v>
      </c>
      <c r="B490" s="294">
        <v>45897.0</v>
      </c>
      <c r="C490" s="295" t="s">
        <v>786</v>
      </c>
      <c r="D490" s="295"/>
      <c r="E490" s="301">
        <v>45897.0</v>
      </c>
      <c r="F490" s="295" t="s">
        <v>787</v>
      </c>
      <c r="G490" s="295" t="s">
        <v>303</v>
      </c>
      <c r="H490" s="295" t="s">
        <v>304</v>
      </c>
      <c r="I490" s="295">
        <v>3506.0</v>
      </c>
      <c r="J490" s="296">
        <v>1.0</v>
      </c>
      <c r="K490" s="295" t="s">
        <v>196</v>
      </c>
      <c r="L490" s="295">
        <v>1016.1</v>
      </c>
      <c r="M490" s="295">
        <v>1016.1</v>
      </c>
    </row>
    <row r="491">
      <c r="A491" s="264">
        <v>45870.0</v>
      </c>
      <c r="B491" s="294">
        <v>45897.0</v>
      </c>
      <c r="C491" s="295" t="s">
        <v>788</v>
      </c>
      <c r="D491" s="295"/>
      <c r="E491" s="301">
        <v>45897.0</v>
      </c>
      <c r="F491" s="295" t="s">
        <v>789</v>
      </c>
      <c r="G491" s="295" t="s">
        <v>303</v>
      </c>
      <c r="H491" s="295" t="s">
        <v>304</v>
      </c>
      <c r="I491" s="295">
        <v>3506.0</v>
      </c>
      <c r="J491" s="296">
        <v>1.0</v>
      </c>
      <c r="K491" s="295" t="s">
        <v>196</v>
      </c>
      <c r="L491" s="295">
        <v>1016.1</v>
      </c>
      <c r="M491" s="295">
        <v>914.49</v>
      </c>
    </row>
    <row r="492">
      <c r="A492" s="264">
        <v>45870.0</v>
      </c>
      <c r="B492" s="265">
        <v>45895.0</v>
      </c>
      <c r="C492" s="266" t="s">
        <v>790</v>
      </c>
      <c r="D492" s="266" t="s">
        <v>791</v>
      </c>
      <c r="E492" s="303">
        <v>45895.0</v>
      </c>
      <c r="F492" s="266" t="s">
        <v>792</v>
      </c>
      <c r="G492" s="266" t="s">
        <v>193</v>
      </c>
      <c r="H492" s="266" t="s">
        <v>194</v>
      </c>
      <c r="I492" s="266">
        <v>8.44311E7</v>
      </c>
      <c r="J492" s="266">
        <v>2.0</v>
      </c>
      <c r="K492" s="266" t="s">
        <v>196</v>
      </c>
      <c r="L492" s="266">
        <v>1400.0</v>
      </c>
      <c r="M492" s="266">
        <v>2800.0</v>
      </c>
    </row>
    <row r="493">
      <c r="A493" s="264">
        <v>45870.0</v>
      </c>
      <c r="B493" s="294">
        <v>45895.0</v>
      </c>
      <c r="C493" s="295" t="s">
        <v>793</v>
      </c>
      <c r="D493" s="295"/>
      <c r="E493" s="301">
        <v>45895.0</v>
      </c>
      <c r="F493" s="295" t="s">
        <v>794</v>
      </c>
      <c r="G493" s="295" t="s">
        <v>303</v>
      </c>
      <c r="H493" s="295" t="s">
        <v>304</v>
      </c>
      <c r="I493" s="295">
        <v>3506.0</v>
      </c>
      <c r="J493" s="296">
        <v>1.0</v>
      </c>
      <c r="K493" s="295" t="s">
        <v>196</v>
      </c>
      <c r="L493" s="295">
        <v>1016.1</v>
      </c>
      <c r="M493" s="295">
        <v>914.49</v>
      </c>
    </row>
    <row r="494">
      <c r="A494" s="264">
        <v>45870.0</v>
      </c>
      <c r="B494" s="294">
        <v>45895.0</v>
      </c>
      <c r="C494" s="295" t="s">
        <v>795</v>
      </c>
      <c r="D494" s="295"/>
      <c r="E494" s="301">
        <v>45895.0</v>
      </c>
      <c r="F494" s="295" t="s">
        <v>796</v>
      </c>
      <c r="G494" s="295" t="s">
        <v>303</v>
      </c>
      <c r="H494" s="295" t="s">
        <v>304</v>
      </c>
      <c r="I494" s="295">
        <v>3506.0</v>
      </c>
      <c r="J494" s="296">
        <v>1.0</v>
      </c>
      <c r="K494" s="295" t="s">
        <v>196</v>
      </c>
      <c r="L494" s="295">
        <v>1016.1</v>
      </c>
      <c r="M494" s="295">
        <v>914.49</v>
      </c>
    </row>
    <row r="495">
      <c r="A495" s="264">
        <v>45870.0</v>
      </c>
      <c r="B495" s="294">
        <v>45895.0</v>
      </c>
      <c r="C495" s="295" t="s">
        <v>797</v>
      </c>
      <c r="D495" s="295"/>
      <c r="E495" s="301">
        <v>45895.0</v>
      </c>
      <c r="F495" s="295" t="s">
        <v>798</v>
      </c>
      <c r="G495" s="295" t="s">
        <v>303</v>
      </c>
      <c r="H495" s="295" t="s">
        <v>304</v>
      </c>
      <c r="I495" s="295">
        <v>3506.0</v>
      </c>
      <c r="J495" s="296">
        <v>1.0</v>
      </c>
      <c r="K495" s="295" t="s">
        <v>196</v>
      </c>
      <c r="L495" s="295">
        <v>1016.1</v>
      </c>
      <c r="M495" s="295">
        <v>1016.1</v>
      </c>
    </row>
    <row r="496">
      <c r="A496" s="264">
        <v>45870.0</v>
      </c>
      <c r="B496" s="294">
        <v>45895.0</v>
      </c>
      <c r="C496" s="295" t="s">
        <v>799</v>
      </c>
      <c r="D496" s="295"/>
      <c r="E496" s="301">
        <v>45895.0</v>
      </c>
      <c r="F496" s="295" t="s">
        <v>800</v>
      </c>
      <c r="G496" s="295" t="s">
        <v>303</v>
      </c>
      <c r="H496" s="295" t="s">
        <v>304</v>
      </c>
      <c r="I496" s="295">
        <v>3506.0</v>
      </c>
      <c r="J496" s="296">
        <v>1.0</v>
      </c>
      <c r="K496" s="295" t="s">
        <v>196</v>
      </c>
      <c r="L496" s="295">
        <v>1016.1</v>
      </c>
      <c r="M496" s="295">
        <v>1016.1</v>
      </c>
    </row>
    <row r="497">
      <c r="A497" s="264">
        <v>45870.0</v>
      </c>
      <c r="B497" s="294">
        <v>45895.0</v>
      </c>
      <c r="C497" s="295" t="s">
        <v>801</v>
      </c>
      <c r="D497" s="295"/>
      <c r="E497" s="301">
        <v>45895.0</v>
      </c>
      <c r="F497" s="295" t="s">
        <v>802</v>
      </c>
      <c r="G497" s="295" t="s">
        <v>303</v>
      </c>
      <c r="H497" s="295" t="s">
        <v>304</v>
      </c>
      <c r="I497" s="295">
        <v>3506.0</v>
      </c>
      <c r="J497" s="296">
        <v>1.0</v>
      </c>
      <c r="K497" s="295" t="s">
        <v>196</v>
      </c>
      <c r="L497" s="295">
        <v>1016.1</v>
      </c>
      <c r="M497" s="295">
        <v>1016.1</v>
      </c>
    </row>
    <row r="498">
      <c r="A498" s="264">
        <v>45870.0</v>
      </c>
      <c r="B498" s="294">
        <v>45895.0</v>
      </c>
      <c r="C498" s="295" t="s">
        <v>803</v>
      </c>
      <c r="D498" s="295"/>
      <c r="E498" s="301">
        <v>45895.0</v>
      </c>
      <c r="F498" s="295" t="s">
        <v>804</v>
      </c>
      <c r="G498" s="295" t="s">
        <v>303</v>
      </c>
      <c r="H498" s="295" t="s">
        <v>304</v>
      </c>
      <c r="I498" s="295">
        <v>3506.0</v>
      </c>
      <c r="J498" s="296">
        <v>1.0</v>
      </c>
      <c r="K498" s="295" t="s">
        <v>196</v>
      </c>
      <c r="L498" s="295">
        <v>1016.1</v>
      </c>
      <c r="M498" s="295">
        <v>914.49</v>
      </c>
    </row>
    <row r="499">
      <c r="A499" s="264">
        <v>45870.0</v>
      </c>
      <c r="B499" s="294">
        <v>45895.0</v>
      </c>
      <c r="C499" s="295" t="s">
        <v>805</v>
      </c>
      <c r="D499" s="295"/>
      <c r="E499" s="301">
        <v>45895.0</v>
      </c>
      <c r="F499" s="295" t="s">
        <v>806</v>
      </c>
      <c r="G499" s="295" t="s">
        <v>303</v>
      </c>
      <c r="H499" s="295" t="s">
        <v>304</v>
      </c>
      <c r="I499" s="295">
        <v>3506.0</v>
      </c>
      <c r="J499" s="296">
        <v>1.0</v>
      </c>
      <c r="K499" s="295" t="s">
        <v>196</v>
      </c>
      <c r="L499" s="295">
        <v>1016.1</v>
      </c>
      <c r="M499" s="295">
        <v>914.49</v>
      </c>
    </row>
    <row r="500">
      <c r="A500" s="264">
        <v>45870.0</v>
      </c>
      <c r="B500" s="294">
        <v>45895.0</v>
      </c>
      <c r="C500" s="295" t="s">
        <v>807</v>
      </c>
      <c r="D500" s="295"/>
      <c r="E500" s="301">
        <v>45895.0</v>
      </c>
      <c r="F500" s="295" t="s">
        <v>808</v>
      </c>
      <c r="G500" s="295" t="s">
        <v>303</v>
      </c>
      <c r="H500" s="295" t="s">
        <v>487</v>
      </c>
      <c r="I500" s="295">
        <v>3506.0</v>
      </c>
      <c r="J500" s="296">
        <v>1.0</v>
      </c>
      <c r="K500" s="295" t="s">
        <v>196</v>
      </c>
      <c r="L500" s="295">
        <v>1609.32</v>
      </c>
      <c r="M500" s="295">
        <v>1448.39</v>
      </c>
    </row>
    <row r="501">
      <c r="A501" s="264">
        <v>45870.0</v>
      </c>
      <c r="B501" s="294">
        <v>45895.0</v>
      </c>
      <c r="C501" s="295" t="s">
        <v>809</v>
      </c>
      <c r="D501" s="295" t="s">
        <v>810</v>
      </c>
      <c r="E501" s="301">
        <v>45895.0</v>
      </c>
      <c r="F501" s="295" t="s">
        <v>811</v>
      </c>
      <c r="G501" s="295" t="s">
        <v>303</v>
      </c>
      <c r="H501" s="295" t="s">
        <v>304</v>
      </c>
      <c r="I501" s="295">
        <v>3506.0</v>
      </c>
      <c r="J501" s="296">
        <v>1.0</v>
      </c>
      <c r="K501" s="295" t="s">
        <v>196</v>
      </c>
      <c r="L501" s="295">
        <v>1016.1</v>
      </c>
      <c r="M501" s="295">
        <v>1016.1</v>
      </c>
    </row>
    <row r="502">
      <c r="A502" s="264">
        <v>45870.0</v>
      </c>
      <c r="B502" s="265">
        <v>45894.0</v>
      </c>
      <c r="C502" s="266" t="s">
        <v>654</v>
      </c>
      <c r="D502" s="266" t="s">
        <v>655</v>
      </c>
      <c r="E502" s="303">
        <v>45894.0</v>
      </c>
      <c r="F502" s="266" t="s">
        <v>812</v>
      </c>
      <c r="G502" s="266" t="s">
        <v>193</v>
      </c>
      <c r="H502" s="266" t="s">
        <v>248</v>
      </c>
      <c r="I502" s="266">
        <v>8443.0</v>
      </c>
      <c r="J502" s="266">
        <v>10.0</v>
      </c>
      <c r="K502" s="266" t="s">
        <v>196</v>
      </c>
      <c r="L502" s="266">
        <v>1400.0</v>
      </c>
      <c r="M502" s="266">
        <v>14000.0</v>
      </c>
    </row>
    <row r="503">
      <c r="A503" s="264">
        <v>45870.0</v>
      </c>
      <c r="B503" s="265"/>
      <c r="C503" s="266"/>
      <c r="D503" s="266"/>
      <c r="E503" s="303"/>
      <c r="F503" s="266"/>
      <c r="G503" s="266" t="s">
        <v>193</v>
      </c>
      <c r="H503" s="266" t="s">
        <v>659</v>
      </c>
      <c r="I503" s="266">
        <v>8443.0</v>
      </c>
      <c r="J503" s="266">
        <v>10.0</v>
      </c>
      <c r="K503" s="266" t="s">
        <v>196</v>
      </c>
      <c r="L503" s="266">
        <v>1500.0</v>
      </c>
      <c r="M503" s="266">
        <v>15000.0</v>
      </c>
    </row>
    <row r="504">
      <c r="A504" s="264">
        <v>45870.0</v>
      </c>
      <c r="B504" s="265"/>
      <c r="C504" s="266"/>
      <c r="D504" s="266"/>
      <c r="E504" s="303"/>
      <c r="F504" s="266"/>
      <c r="G504" s="266" t="s">
        <v>193</v>
      </c>
      <c r="H504" s="266" t="s">
        <v>813</v>
      </c>
      <c r="I504" s="266">
        <v>8.443329E7</v>
      </c>
      <c r="J504" s="266">
        <v>5.0</v>
      </c>
      <c r="K504" s="266" t="s">
        <v>196</v>
      </c>
      <c r="L504" s="266">
        <v>4500.0</v>
      </c>
      <c r="M504" s="266">
        <v>22500.0</v>
      </c>
    </row>
    <row r="505">
      <c r="A505" s="264">
        <v>45870.0</v>
      </c>
      <c r="B505" s="271"/>
      <c r="C505" s="272"/>
      <c r="D505" s="272"/>
      <c r="E505" s="300"/>
      <c r="F505" s="272"/>
      <c r="G505" s="272" t="s">
        <v>197</v>
      </c>
      <c r="H505" s="272" t="s">
        <v>198</v>
      </c>
      <c r="I505" s="272">
        <v>9968.0</v>
      </c>
      <c r="J505" s="272">
        <v>1.0</v>
      </c>
      <c r="K505" s="272" t="s">
        <v>196</v>
      </c>
      <c r="L505" s="272">
        <v>500.0</v>
      </c>
      <c r="M505" s="272">
        <v>500.0</v>
      </c>
    </row>
    <row r="506">
      <c r="A506" s="264">
        <v>45870.0</v>
      </c>
      <c r="B506" s="294">
        <v>45894.0</v>
      </c>
      <c r="C506" s="295" t="s">
        <v>814</v>
      </c>
      <c r="D506" s="295"/>
      <c r="E506" s="301">
        <v>45894.0</v>
      </c>
      <c r="F506" s="295" t="s">
        <v>815</v>
      </c>
      <c r="G506" s="295" t="s">
        <v>303</v>
      </c>
      <c r="H506" s="295" t="s">
        <v>304</v>
      </c>
      <c r="I506" s="295">
        <v>3506.0</v>
      </c>
      <c r="J506" s="296">
        <v>1.0</v>
      </c>
      <c r="K506" s="295" t="s">
        <v>196</v>
      </c>
      <c r="L506" s="295">
        <v>1016.1</v>
      </c>
      <c r="M506" s="295">
        <v>1016.1</v>
      </c>
    </row>
    <row r="507">
      <c r="A507" s="264">
        <v>45870.0</v>
      </c>
      <c r="B507" s="294">
        <v>45894.0</v>
      </c>
      <c r="C507" s="295" t="s">
        <v>816</v>
      </c>
      <c r="D507" s="295"/>
      <c r="E507" s="301">
        <v>45894.0</v>
      </c>
      <c r="F507" s="295" t="s">
        <v>817</v>
      </c>
      <c r="G507" s="295" t="s">
        <v>303</v>
      </c>
      <c r="H507" s="295" t="s">
        <v>304</v>
      </c>
      <c r="I507" s="295">
        <v>3506.0</v>
      </c>
      <c r="J507" s="296">
        <v>1.0</v>
      </c>
      <c r="K507" s="295" t="s">
        <v>196</v>
      </c>
      <c r="L507" s="295">
        <v>1016.1</v>
      </c>
      <c r="M507" s="295">
        <v>1016.1</v>
      </c>
    </row>
    <row r="508">
      <c r="A508" s="264">
        <v>45870.0</v>
      </c>
      <c r="B508" s="294">
        <v>45894.0</v>
      </c>
      <c r="C508" s="295" t="s">
        <v>818</v>
      </c>
      <c r="D508" s="295"/>
      <c r="E508" s="301">
        <v>45894.0</v>
      </c>
      <c r="F508" s="295" t="s">
        <v>819</v>
      </c>
      <c r="G508" s="295" t="s">
        <v>303</v>
      </c>
      <c r="H508" s="295" t="s">
        <v>487</v>
      </c>
      <c r="I508" s="295">
        <v>3506.0</v>
      </c>
      <c r="J508" s="296">
        <v>1.0</v>
      </c>
      <c r="K508" s="295" t="s">
        <v>196</v>
      </c>
      <c r="L508" s="295">
        <v>1609.32</v>
      </c>
      <c r="M508" s="295">
        <v>1448.39</v>
      </c>
    </row>
    <row r="509">
      <c r="A509" s="264">
        <v>45870.0</v>
      </c>
      <c r="B509" s="294">
        <v>45894.0</v>
      </c>
      <c r="C509" s="295" t="s">
        <v>820</v>
      </c>
      <c r="D509" s="295"/>
      <c r="E509" s="301">
        <v>45894.0</v>
      </c>
      <c r="F509" s="295" t="s">
        <v>821</v>
      </c>
      <c r="G509" s="295" t="s">
        <v>303</v>
      </c>
      <c r="H509" s="295" t="s">
        <v>304</v>
      </c>
      <c r="I509" s="295">
        <v>3506.0</v>
      </c>
      <c r="J509" s="296">
        <v>1.0</v>
      </c>
      <c r="K509" s="295" t="s">
        <v>196</v>
      </c>
      <c r="L509" s="295">
        <v>1016.1</v>
      </c>
      <c r="M509" s="295">
        <v>1016.1</v>
      </c>
    </row>
    <row r="510">
      <c r="A510" s="264">
        <v>45901.0</v>
      </c>
      <c r="B510" s="302">
        <v>45905.0</v>
      </c>
      <c r="C510" s="302" t="s">
        <v>822</v>
      </c>
      <c r="D510" s="302" t="s">
        <v>823</v>
      </c>
      <c r="E510" s="302">
        <v>45905.0</v>
      </c>
      <c r="F510" s="302" t="s">
        <v>824</v>
      </c>
      <c r="G510" s="302" t="s">
        <v>214</v>
      </c>
      <c r="H510" s="302" t="s">
        <v>410</v>
      </c>
      <c r="I510" s="306">
        <v>9989.0</v>
      </c>
      <c r="J510" s="307">
        <v>1.0</v>
      </c>
      <c r="K510" s="302" t="s">
        <v>196</v>
      </c>
      <c r="L510" s="307">
        <v>1559.03</v>
      </c>
      <c r="M510" s="307">
        <v>1559.03</v>
      </c>
    </row>
    <row r="511">
      <c r="A511" s="264">
        <v>45901.0</v>
      </c>
      <c r="B511" s="302"/>
      <c r="C511" s="302"/>
      <c r="D511" s="302"/>
      <c r="E511" s="302"/>
      <c r="F511" s="302"/>
      <c r="G511" s="302" t="s">
        <v>214</v>
      </c>
      <c r="H511" s="302" t="s">
        <v>410</v>
      </c>
      <c r="I511" s="306">
        <v>9989.0</v>
      </c>
      <c r="J511" s="307">
        <v>1.0</v>
      </c>
      <c r="K511" s="302" t="s">
        <v>196</v>
      </c>
      <c r="L511" s="307">
        <v>1559.92</v>
      </c>
      <c r="M511" s="307">
        <v>1559.92</v>
      </c>
    </row>
    <row r="512">
      <c r="A512" s="264">
        <v>45901.0</v>
      </c>
      <c r="B512" s="302"/>
      <c r="C512" s="302"/>
      <c r="D512" s="302"/>
      <c r="E512" s="302"/>
      <c r="F512" s="302"/>
      <c r="G512" s="302" t="s">
        <v>214</v>
      </c>
      <c r="H512" s="302" t="s">
        <v>410</v>
      </c>
      <c r="I512" s="306">
        <v>9989.0</v>
      </c>
      <c r="J512" s="307">
        <v>1.0</v>
      </c>
      <c r="K512" s="302" t="s">
        <v>196</v>
      </c>
      <c r="L512" s="307">
        <v>1206.43</v>
      </c>
      <c r="M512" s="307">
        <v>1206.43</v>
      </c>
    </row>
    <row r="513">
      <c r="A513" s="264">
        <v>45901.0</v>
      </c>
      <c r="B513" s="302"/>
      <c r="C513" s="302"/>
      <c r="D513" s="302"/>
      <c r="E513" s="302"/>
      <c r="F513" s="302"/>
      <c r="G513" s="302" t="s">
        <v>214</v>
      </c>
      <c r="H513" s="302" t="s">
        <v>410</v>
      </c>
      <c r="I513" s="306">
        <v>9989.0</v>
      </c>
      <c r="J513" s="307">
        <v>1.0</v>
      </c>
      <c r="K513" s="302" t="s">
        <v>196</v>
      </c>
      <c r="L513" s="307">
        <v>564.07</v>
      </c>
      <c r="M513" s="307">
        <v>564.07</v>
      </c>
    </row>
    <row r="514">
      <c r="A514" s="264">
        <v>45901.0</v>
      </c>
      <c r="B514" s="302"/>
      <c r="C514" s="302"/>
      <c r="D514" s="302"/>
      <c r="E514" s="302"/>
      <c r="F514" s="302"/>
      <c r="G514" s="302" t="s">
        <v>214</v>
      </c>
      <c r="H514" s="302" t="s">
        <v>410</v>
      </c>
      <c r="I514" s="306">
        <v>9989.0</v>
      </c>
      <c r="J514" s="307">
        <v>1.0</v>
      </c>
      <c r="K514" s="302" t="s">
        <v>196</v>
      </c>
      <c r="L514" s="307">
        <v>564.26</v>
      </c>
      <c r="M514" s="307">
        <v>564.26</v>
      </c>
    </row>
    <row r="515">
      <c r="A515" s="264">
        <v>45901.0</v>
      </c>
      <c r="B515" s="302"/>
      <c r="C515" s="302"/>
      <c r="D515" s="302"/>
      <c r="E515" s="302"/>
      <c r="F515" s="302"/>
      <c r="G515" s="302" t="s">
        <v>214</v>
      </c>
      <c r="H515" s="302" t="s">
        <v>410</v>
      </c>
      <c r="I515" s="306">
        <v>9989.0</v>
      </c>
      <c r="J515" s="307">
        <v>1.0</v>
      </c>
      <c r="K515" s="302" t="s">
        <v>196</v>
      </c>
      <c r="L515" s="307">
        <v>1290.7</v>
      </c>
      <c r="M515" s="307">
        <v>1290.7</v>
      </c>
    </row>
    <row r="516">
      <c r="A516" s="264">
        <v>45901.0</v>
      </c>
      <c r="B516" s="302"/>
      <c r="C516" s="302"/>
      <c r="D516" s="302"/>
      <c r="E516" s="302"/>
      <c r="F516" s="302"/>
      <c r="G516" s="302" t="s">
        <v>214</v>
      </c>
      <c r="H516" s="302" t="s">
        <v>410</v>
      </c>
      <c r="I516" s="306">
        <v>9989.0</v>
      </c>
      <c r="J516" s="307">
        <v>1.0</v>
      </c>
      <c r="K516" s="302" t="s">
        <v>196</v>
      </c>
      <c r="L516" s="307">
        <v>1277.09</v>
      </c>
      <c r="M516" s="307">
        <v>1277.09</v>
      </c>
    </row>
    <row r="517">
      <c r="A517" s="264">
        <v>45901.0</v>
      </c>
      <c r="B517" s="301">
        <v>45905.0</v>
      </c>
      <c r="C517" s="295" t="s">
        <v>693</v>
      </c>
      <c r="D517" s="295"/>
      <c r="E517" s="301">
        <v>45905.0</v>
      </c>
      <c r="F517" s="295" t="s">
        <v>825</v>
      </c>
      <c r="G517" s="295" t="s">
        <v>303</v>
      </c>
      <c r="H517" s="295" t="s">
        <v>304</v>
      </c>
      <c r="I517" s="308">
        <v>3506.0</v>
      </c>
      <c r="J517" s="309">
        <v>1.0</v>
      </c>
      <c r="K517" s="295" t="s">
        <v>196</v>
      </c>
      <c r="L517" s="309">
        <v>1016.1</v>
      </c>
      <c r="M517" s="309">
        <v>914.49</v>
      </c>
    </row>
    <row r="518">
      <c r="A518" s="264">
        <v>45901.0</v>
      </c>
      <c r="B518" s="301">
        <v>45905.0</v>
      </c>
      <c r="C518" s="295" t="s">
        <v>497</v>
      </c>
      <c r="D518" s="295"/>
      <c r="E518" s="301">
        <v>45905.0</v>
      </c>
      <c r="F518" s="295" t="s">
        <v>826</v>
      </c>
      <c r="G518" s="295" t="s">
        <v>303</v>
      </c>
      <c r="H518" s="295" t="s">
        <v>304</v>
      </c>
      <c r="I518" s="308">
        <v>3506.0</v>
      </c>
      <c r="J518" s="309">
        <v>1.0</v>
      </c>
      <c r="K518" s="295" t="s">
        <v>196</v>
      </c>
      <c r="L518" s="309">
        <v>1016.1</v>
      </c>
      <c r="M518" s="309">
        <v>1016.1</v>
      </c>
    </row>
    <row r="519">
      <c r="A519" s="264">
        <v>45901.0</v>
      </c>
      <c r="B519" s="301">
        <v>45905.0</v>
      </c>
      <c r="C519" s="295" t="s">
        <v>827</v>
      </c>
      <c r="D519" s="295"/>
      <c r="E519" s="301">
        <v>45905.0</v>
      </c>
      <c r="F519" s="295" t="s">
        <v>828</v>
      </c>
      <c r="G519" s="295" t="s">
        <v>303</v>
      </c>
      <c r="H519" s="295" t="s">
        <v>304</v>
      </c>
      <c r="I519" s="308">
        <v>3506.0</v>
      </c>
      <c r="J519" s="309">
        <v>2.0</v>
      </c>
      <c r="K519" s="295" t="s">
        <v>196</v>
      </c>
      <c r="L519" s="309">
        <v>1016.1</v>
      </c>
      <c r="M519" s="309">
        <v>1828.98</v>
      </c>
    </row>
    <row r="520">
      <c r="A520" s="264">
        <v>45901.0</v>
      </c>
      <c r="B520" s="301">
        <v>45905.0</v>
      </c>
      <c r="C520" s="295" t="s">
        <v>829</v>
      </c>
      <c r="D520" s="295"/>
      <c r="E520" s="301">
        <v>45905.0</v>
      </c>
      <c r="F520" s="295" t="s">
        <v>830</v>
      </c>
      <c r="G520" s="295" t="s">
        <v>303</v>
      </c>
      <c r="H520" s="295" t="s">
        <v>304</v>
      </c>
      <c r="I520" s="308">
        <v>3506.0</v>
      </c>
      <c r="J520" s="309">
        <v>1.0</v>
      </c>
      <c r="K520" s="295" t="s">
        <v>196</v>
      </c>
      <c r="L520" s="309">
        <v>1016.1</v>
      </c>
      <c r="M520" s="309">
        <v>914.49</v>
      </c>
    </row>
    <row r="521">
      <c r="A521" s="264">
        <v>45901.0</v>
      </c>
      <c r="B521" s="301">
        <v>45905.0</v>
      </c>
      <c r="C521" s="295" t="s">
        <v>831</v>
      </c>
      <c r="D521" s="295"/>
      <c r="E521" s="301">
        <v>45905.0</v>
      </c>
      <c r="F521" s="295" t="s">
        <v>832</v>
      </c>
      <c r="G521" s="295" t="s">
        <v>303</v>
      </c>
      <c r="H521" s="295" t="s">
        <v>304</v>
      </c>
      <c r="I521" s="308">
        <v>3506.0</v>
      </c>
      <c r="J521" s="309">
        <v>2.0</v>
      </c>
      <c r="K521" s="295" t="s">
        <v>196</v>
      </c>
      <c r="L521" s="309">
        <v>1016.1</v>
      </c>
      <c r="M521" s="309">
        <v>2032.2</v>
      </c>
    </row>
    <row r="522">
      <c r="A522" s="264">
        <v>45901.0</v>
      </c>
      <c r="B522" s="305">
        <v>45904.0</v>
      </c>
      <c r="C522" s="284" t="s">
        <v>833</v>
      </c>
      <c r="D522" s="284"/>
      <c r="E522" s="305">
        <v>45904.0</v>
      </c>
      <c r="F522" s="284" t="s">
        <v>834</v>
      </c>
      <c r="G522" s="284" t="s">
        <v>242</v>
      </c>
      <c r="H522" s="284" t="s">
        <v>835</v>
      </c>
      <c r="I522" s="310">
        <v>8477.0</v>
      </c>
      <c r="J522" s="311">
        <v>1.0</v>
      </c>
      <c r="K522" s="284" t="s">
        <v>196</v>
      </c>
      <c r="L522" s="311">
        <v>55555.56</v>
      </c>
      <c r="M522" s="311">
        <v>50000.0</v>
      </c>
    </row>
    <row r="523">
      <c r="A523" s="264">
        <v>45901.0</v>
      </c>
      <c r="B523" s="303"/>
      <c r="C523" s="266"/>
      <c r="D523" s="266"/>
      <c r="E523" s="303"/>
      <c r="F523" s="266"/>
      <c r="G523" s="266" t="s">
        <v>193</v>
      </c>
      <c r="H523" s="266" t="s">
        <v>194</v>
      </c>
      <c r="I523" s="312">
        <v>8.44311E7</v>
      </c>
      <c r="J523" s="313">
        <v>1.0</v>
      </c>
      <c r="K523" s="266" t="s">
        <v>196</v>
      </c>
      <c r="L523" s="313">
        <v>1400.0</v>
      </c>
      <c r="M523" s="313">
        <v>0.0</v>
      </c>
    </row>
    <row r="524">
      <c r="A524" s="264">
        <v>45901.0</v>
      </c>
      <c r="B524" s="305"/>
      <c r="C524" s="284"/>
      <c r="D524" s="284"/>
      <c r="E524" s="305"/>
      <c r="F524" s="284"/>
      <c r="G524" s="284" t="s">
        <v>242</v>
      </c>
      <c r="H524" s="284" t="s">
        <v>198</v>
      </c>
      <c r="I524" s="310">
        <v>9968.0</v>
      </c>
      <c r="J524" s="311">
        <v>1.0</v>
      </c>
      <c r="K524" s="284" t="s">
        <v>196</v>
      </c>
      <c r="L524" s="311">
        <v>5000.0</v>
      </c>
      <c r="M524" s="311">
        <v>0.0</v>
      </c>
    </row>
    <row r="525">
      <c r="A525" s="264">
        <v>45901.0</v>
      </c>
      <c r="B525" s="300">
        <v>45904.0</v>
      </c>
      <c r="C525" s="300" t="s">
        <v>250</v>
      </c>
      <c r="D525" s="300" t="s">
        <v>251</v>
      </c>
      <c r="E525" s="300">
        <v>45904.0</v>
      </c>
      <c r="F525" s="300" t="s">
        <v>836</v>
      </c>
      <c r="G525" s="272" t="s">
        <v>197</v>
      </c>
      <c r="H525" s="282" t="s">
        <v>575</v>
      </c>
      <c r="I525" s="314">
        <v>8477.0</v>
      </c>
      <c r="J525" s="272">
        <v>2.0</v>
      </c>
      <c r="K525" s="300" t="s">
        <v>196</v>
      </c>
      <c r="L525" s="315">
        <v>5500.0</v>
      </c>
      <c r="M525" s="315">
        <v>11000.0</v>
      </c>
    </row>
    <row r="526">
      <c r="A526" s="264">
        <v>45901.0</v>
      </c>
      <c r="B526" s="300"/>
      <c r="C526" s="300"/>
      <c r="D526" s="300"/>
      <c r="E526" s="300"/>
      <c r="F526" s="300"/>
      <c r="G526" s="272" t="s">
        <v>197</v>
      </c>
      <c r="H526" s="282" t="s">
        <v>692</v>
      </c>
      <c r="I526" s="314">
        <v>8477.0</v>
      </c>
      <c r="J526" s="272">
        <v>2.0</v>
      </c>
      <c r="K526" s="300" t="s">
        <v>196</v>
      </c>
      <c r="L526" s="315">
        <v>5500.0</v>
      </c>
      <c r="M526" s="315">
        <v>11000.0</v>
      </c>
    </row>
    <row r="527">
      <c r="A527" s="264">
        <v>45901.0</v>
      </c>
      <c r="B527" s="303"/>
      <c r="C527" s="266"/>
      <c r="D527" s="266"/>
      <c r="E527" s="303"/>
      <c r="F527" s="266"/>
      <c r="G527" s="266" t="s">
        <v>193</v>
      </c>
      <c r="H527" s="266" t="s">
        <v>837</v>
      </c>
      <c r="I527" s="312">
        <v>853690.0</v>
      </c>
      <c r="J527" s="313">
        <v>5.0</v>
      </c>
      <c r="K527" s="266" t="s">
        <v>196</v>
      </c>
      <c r="L527" s="313">
        <v>40.0</v>
      </c>
      <c r="M527" s="313">
        <v>200.0</v>
      </c>
    </row>
    <row r="528">
      <c r="A528" s="264">
        <v>45901.0</v>
      </c>
      <c r="B528" s="272"/>
      <c r="C528" s="272"/>
      <c r="D528" s="272"/>
      <c r="E528" s="272"/>
      <c r="F528" s="272"/>
      <c r="G528" s="272" t="s">
        <v>197</v>
      </c>
      <c r="H528" s="272" t="s">
        <v>253</v>
      </c>
      <c r="I528" s="314">
        <v>8477.0</v>
      </c>
      <c r="J528" s="272">
        <v>1.0</v>
      </c>
      <c r="K528" s="272" t="s">
        <v>196</v>
      </c>
      <c r="L528" s="315">
        <v>2800.0</v>
      </c>
      <c r="M528" s="315">
        <v>2800.0</v>
      </c>
    </row>
    <row r="529">
      <c r="A529" s="264">
        <v>45901.0</v>
      </c>
      <c r="B529" s="300"/>
      <c r="C529" s="272"/>
      <c r="D529" s="272"/>
      <c r="E529" s="300"/>
      <c r="F529" s="272"/>
      <c r="G529" s="272" t="s">
        <v>197</v>
      </c>
      <c r="H529" s="272" t="s">
        <v>198</v>
      </c>
      <c r="I529" s="314">
        <v>9968.0</v>
      </c>
      <c r="J529" s="315">
        <v>1.0</v>
      </c>
      <c r="K529" s="272" t="s">
        <v>196</v>
      </c>
      <c r="L529" s="315">
        <v>350.0</v>
      </c>
      <c r="M529" s="315">
        <v>350.0</v>
      </c>
    </row>
    <row r="530">
      <c r="A530" s="264">
        <v>45901.0</v>
      </c>
      <c r="B530" s="301">
        <v>45904.0</v>
      </c>
      <c r="C530" s="295" t="s">
        <v>838</v>
      </c>
      <c r="D530" s="295" t="s">
        <v>839</v>
      </c>
      <c r="E530" s="301">
        <v>45904.0</v>
      </c>
      <c r="F530" s="295" t="s">
        <v>840</v>
      </c>
      <c r="G530" s="295" t="s">
        <v>303</v>
      </c>
      <c r="H530" s="295" t="s">
        <v>304</v>
      </c>
      <c r="I530" s="308">
        <v>3506.0</v>
      </c>
      <c r="J530" s="309">
        <v>1.0</v>
      </c>
      <c r="K530" s="295" t="s">
        <v>196</v>
      </c>
      <c r="L530" s="309">
        <v>1016.1</v>
      </c>
      <c r="M530" s="309">
        <v>1016.1</v>
      </c>
    </row>
    <row r="531">
      <c r="A531" s="264">
        <v>45901.0</v>
      </c>
      <c r="B531" s="305">
        <v>45903.0</v>
      </c>
      <c r="C531" s="284" t="s">
        <v>662</v>
      </c>
      <c r="D531" s="284" t="s">
        <v>663</v>
      </c>
      <c r="E531" s="305">
        <v>45903.0</v>
      </c>
      <c r="F531" s="284" t="s">
        <v>841</v>
      </c>
      <c r="G531" s="284" t="s">
        <v>242</v>
      </c>
      <c r="H531" s="284" t="s">
        <v>842</v>
      </c>
      <c r="I531" s="310">
        <v>847130.0</v>
      </c>
      <c r="J531" s="311">
        <v>1.0</v>
      </c>
      <c r="K531" s="284" t="s">
        <v>196</v>
      </c>
      <c r="L531" s="316">
        <v>275000.0</v>
      </c>
      <c r="M531" s="311">
        <v>220000.0</v>
      </c>
    </row>
    <row r="532">
      <c r="A532" s="264">
        <v>45901.0</v>
      </c>
      <c r="B532" s="305"/>
      <c r="C532" s="284"/>
      <c r="D532" s="284"/>
      <c r="E532" s="305"/>
      <c r="F532" s="284"/>
      <c r="G532" s="284" t="s">
        <v>242</v>
      </c>
      <c r="H532" s="284" t="s">
        <v>843</v>
      </c>
      <c r="I532" s="310">
        <v>847130.0</v>
      </c>
      <c r="J532" s="311">
        <v>1.0</v>
      </c>
      <c r="K532" s="284" t="s">
        <v>196</v>
      </c>
      <c r="L532" s="316">
        <v>225000.0</v>
      </c>
      <c r="M532" s="311">
        <v>180000.0</v>
      </c>
    </row>
    <row r="533">
      <c r="A533" s="264">
        <v>45901.0</v>
      </c>
      <c r="B533" s="305">
        <v>45903.0</v>
      </c>
      <c r="C533" s="284" t="s">
        <v>844</v>
      </c>
      <c r="D533" s="284" t="s">
        <v>280</v>
      </c>
      <c r="E533" s="305">
        <v>45903.0</v>
      </c>
      <c r="F533" s="284" t="s">
        <v>845</v>
      </c>
      <c r="G533" s="284" t="s">
        <v>242</v>
      </c>
      <c r="H533" s="284" t="s">
        <v>282</v>
      </c>
      <c r="I533" s="310">
        <v>8.4779E7</v>
      </c>
      <c r="J533" s="311">
        <v>1.0</v>
      </c>
      <c r="K533" s="284" t="s">
        <v>196</v>
      </c>
      <c r="L533" s="316">
        <v>145000.0</v>
      </c>
      <c r="M533" s="311">
        <v>137750.0</v>
      </c>
    </row>
    <row r="534">
      <c r="A534" s="264">
        <v>45901.0</v>
      </c>
      <c r="B534" s="305"/>
      <c r="C534" s="284"/>
      <c r="D534" s="284"/>
      <c r="E534" s="305"/>
      <c r="F534" s="284"/>
      <c r="G534" s="284" t="s">
        <v>242</v>
      </c>
      <c r="H534" s="284" t="s">
        <v>243</v>
      </c>
      <c r="I534" s="310">
        <v>8.4779E7</v>
      </c>
      <c r="J534" s="311">
        <v>1.0</v>
      </c>
      <c r="K534" s="284" t="s">
        <v>196</v>
      </c>
      <c r="L534" s="316">
        <v>900000.0</v>
      </c>
      <c r="M534" s="311">
        <v>855000.0</v>
      </c>
    </row>
    <row r="535">
      <c r="A535" s="264">
        <v>45901.0</v>
      </c>
      <c r="B535" s="305"/>
      <c r="C535" s="284"/>
      <c r="D535" s="284"/>
      <c r="E535" s="305"/>
      <c r="F535" s="284"/>
      <c r="G535" s="284" t="s">
        <v>242</v>
      </c>
      <c r="H535" s="284" t="s">
        <v>846</v>
      </c>
      <c r="I535" s="310">
        <v>8443.0</v>
      </c>
      <c r="J535" s="311">
        <v>2.0</v>
      </c>
      <c r="K535" s="284" t="s">
        <v>196</v>
      </c>
      <c r="L535" s="311">
        <v>125000.0</v>
      </c>
      <c r="M535" s="311">
        <v>237500.0</v>
      </c>
    </row>
    <row r="536">
      <c r="A536" s="264">
        <v>45901.0</v>
      </c>
      <c r="B536" s="303"/>
      <c r="C536" s="266"/>
      <c r="D536" s="266"/>
      <c r="E536" s="303"/>
      <c r="F536" s="266"/>
      <c r="G536" s="266" t="s">
        <v>193</v>
      </c>
      <c r="H536" s="266" t="s">
        <v>445</v>
      </c>
      <c r="I536" s="312">
        <v>8443.0</v>
      </c>
      <c r="J536" s="313">
        <v>5.0</v>
      </c>
      <c r="K536" s="266" t="s">
        <v>196</v>
      </c>
      <c r="L536" s="313">
        <v>1699.0</v>
      </c>
      <c r="M536" s="313">
        <v>0.0</v>
      </c>
    </row>
    <row r="537">
      <c r="A537" s="264">
        <v>45901.0</v>
      </c>
      <c r="B537" s="303"/>
      <c r="C537" s="266"/>
      <c r="D537" s="266"/>
      <c r="E537" s="303"/>
      <c r="F537" s="266"/>
      <c r="G537" s="266" t="s">
        <v>193</v>
      </c>
      <c r="H537" s="266" t="s">
        <v>813</v>
      </c>
      <c r="I537" s="312">
        <v>8.443329E7</v>
      </c>
      <c r="J537" s="313">
        <v>5.0</v>
      </c>
      <c r="K537" s="266" t="s">
        <v>196</v>
      </c>
      <c r="L537" s="313">
        <v>8000.0</v>
      </c>
      <c r="M537" s="313">
        <v>0.0</v>
      </c>
    </row>
    <row r="538">
      <c r="A538" s="264">
        <v>45901.0</v>
      </c>
      <c r="B538" s="284"/>
      <c r="C538" s="284"/>
      <c r="D538" s="284"/>
      <c r="E538" s="305"/>
      <c r="F538" s="284"/>
      <c r="G538" s="284" t="s">
        <v>242</v>
      </c>
      <c r="H538" s="284" t="s">
        <v>283</v>
      </c>
      <c r="I538" s="310">
        <v>9987.0</v>
      </c>
      <c r="J538" s="311">
        <v>1.0</v>
      </c>
      <c r="K538" s="284" t="s">
        <v>196</v>
      </c>
      <c r="L538" s="311">
        <v>25000.0</v>
      </c>
      <c r="M538" s="311">
        <v>0.0</v>
      </c>
    </row>
    <row r="539">
      <c r="A539" s="264">
        <v>45901.0</v>
      </c>
      <c r="B539" s="305"/>
      <c r="C539" s="284"/>
      <c r="D539" s="284"/>
      <c r="E539" s="305"/>
      <c r="F539" s="284"/>
      <c r="G539" s="284" t="s">
        <v>242</v>
      </c>
      <c r="H539" s="284" t="s">
        <v>198</v>
      </c>
      <c r="I539" s="310">
        <v>9968.0</v>
      </c>
      <c r="J539" s="311">
        <v>1.0</v>
      </c>
      <c r="K539" s="284" t="s">
        <v>196</v>
      </c>
      <c r="L539" s="311">
        <v>20000.0</v>
      </c>
      <c r="M539" s="311">
        <v>0.0</v>
      </c>
    </row>
    <row r="540">
      <c r="A540" s="264">
        <v>45901.0</v>
      </c>
      <c r="B540" s="301">
        <v>45903.0</v>
      </c>
      <c r="C540" s="295" t="s">
        <v>847</v>
      </c>
      <c r="D540" s="295"/>
      <c r="E540" s="301">
        <v>45903.0</v>
      </c>
      <c r="F540" s="295" t="s">
        <v>848</v>
      </c>
      <c r="G540" s="295" t="s">
        <v>303</v>
      </c>
      <c r="H540" s="295" t="s">
        <v>304</v>
      </c>
      <c r="I540" s="308">
        <v>3506.0</v>
      </c>
      <c r="J540" s="309">
        <v>1.0</v>
      </c>
      <c r="K540" s="295" t="s">
        <v>196</v>
      </c>
      <c r="L540" s="309">
        <v>1016.1</v>
      </c>
      <c r="M540" s="309">
        <v>1016.1</v>
      </c>
    </row>
    <row r="541">
      <c r="A541" s="264">
        <v>45901.0</v>
      </c>
      <c r="B541" s="302">
        <v>45902.0</v>
      </c>
      <c r="C541" s="302" t="s">
        <v>233</v>
      </c>
      <c r="D541" s="302" t="s">
        <v>234</v>
      </c>
      <c r="E541" s="302">
        <v>45902.0</v>
      </c>
      <c r="F541" s="302" t="s">
        <v>849</v>
      </c>
      <c r="G541" s="302" t="s">
        <v>214</v>
      </c>
      <c r="H541" s="302" t="s">
        <v>410</v>
      </c>
      <c r="I541" s="306">
        <v>9989.0</v>
      </c>
      <c r="J541" s="307">
        <v>4.0</v>
      </c>
      <c r="K541" s="302" t="s">
        <v>196</v>
      </c>
      <c r="L541" s="307">
        <v>2872.8</v>
      </c>
      <c r="M541" s="307">
        <v>11491.2</v>
      </c>
    </row>
    <row r="542">
      <c r="A542" s="264">
        <v>45901.0</v>
      </c>
      <c r="B542" s="300"/>
      <c r="C542" s="272"/>
      <c r="D542" s="272"/>
      <c r="E542" s="300"/>
      <c r="F542" s="272"/>
      <c r="G542" s="272" t="s">
        <v>197</v>
      </c>
      <c r="H542" s="272" t="s">
        <v>198</v>
      </c>
      <c r="I542" s="314">
        <v>9968.0</v>
      </c>
      <c r="J542" s="315">
        <v>1.0</v>
      </c>
      <c r="K542" s="272" t="s">
        <v>196</v>
      </c>
      <c r="L542" s="315">
        <v>200.0</v>
      </c>
      <c r="M542" s="315">
        <v>200.0</v>
      </c>
    </row>
    <row r="543">
      <c r="A543" s="264">
        <v>45901.0</v>
      </c>
      <c r="B543" s="302">
        <v>45901.0</v>
      </c>
      <c r="C543" s="302" t="s">
        <v>407</v>
      </c>
      <c r="D543" s="302" t="s">
        <v>408</v>
      </c>
      <c r="E543" s="302">
        <v>45901.0</v>
      </c>
      <c r="F543" s="302" t="s">
        <v>850</v>
      </c>
      <c r="G543" s="302" t="s">
        <v>214</v>
      </c>
      <c r="H543" s="302" t="s">
        <v>410</v>
      </c>
      <c r="I543" s="306">
        <v>9989.0</v>
      </c>
      <c r="J543" s="307">
        <v>1.0</v>
      </c>
      <c r="K543" s="302" t="s">
        <v>196</v>
      </c>
      <c r="L543" s="307">
        <v>4073.11</v>
      </c>
      <c r="M543" s="307">
        <v>3869.45</v>
      </c>
    </row>
    <row r="544">
      <c r="A544" s="264">
        <v>45901.0</v>
      </c>
      <c r="B544" s="300">
        <v>45901.0</v>
      </c>
      <c r="C544" s="272" t="s">
        <v>447</v>
      </c>
      <c r="D544" s="272" t="s">
        <v>448</v>
      </c>
      <c r="E544" s="300">
        <v>45901.0</v>
      </c>
      <c r="F544" s="272" t="s">
        <v>851</v>
      </c>
      <c r="G544" s="272" t="s">
        <v>197</v>
      </c>
      <c r="H544" s="272" t="s">
        <v>203</v>
      </c>
      <c r="I544" s="314">
        <v>8477.0</v>
      </c>
      <c r="J544" s="315">
        <v>100.0</v>
      </c>
      <c r="K544" s="272" t="s">
        <v>356</v>
      </c>
      <c r="L544" s="315">
        <v>0.9</v>
      </c>
      <c r="M544" s="315">
        <v>90.0</v>
      </c>
    </row>
    <row r="545">
      <c r="A545" s="264">
        <v>45901.0</v>
      </c>
      <c r="B545" s="300"/>
      <c r="C545" s="272"/>
      <c r="D545" s="272"/>
      <c r="E545" s="300"/>
      <c r="F545" s="272"/>
      <c r="G545" s="272" t="s">
        <v>197</v>
      </c>
      <c r="H545" s="272" t="s">
        <v>209</v>
      </c>
      <c r="I545" s="314">
        <v>998719.0</v>
      </c>
      <c r="J545" s="315">
        <v>1.0</v>
      </c>
      <c r="K545" s="272" t="s">
        <v>196</v>
      </c>
      <c r="L545" s="315">
        <v>400.0</v>
      </c>
      <c r="M545" s="315">
        <v>400.0</v>
      </c>
    </row>
    <row r="546">
      <c r="A546" s="264">
        <v>45901.0</v>
      </c>
      <c r="B546" s="300"/>
      <c r="C546" s="272"/>
      <c r="D546" s="272"/>
      <c r="E546" s="300"/>
      <c r="F546" s="272"/>
      <c r="G546" s="272" t="s">
        <v>197</v>
      </c>
      <c r="H546" s="272" t="s">
        <v>198</v>
      </c>
      <c r="I546" s="314">
        <v>9968.0</v>
      </c>
      <c r="J546" s="315">
        <v>1.0</v>
      </c>
      <c r="K546" s="272" t="s">
        <v>196</v>
      </c>
      <c r="L546" s="315">
        <v>350.0</v>
      </c>
      <c r="M546" s="315">
        <v>350.0</v>
      </c>
    </row>
    <row r="547">
      <c r="A547" s="264">
        <v>45901.0</v>
      </c>
      <c r="B547" s="301">
        <v>45901.0</v>
      </c>
      <c r="C547" s="295" t="s">
        <v>852</v>
      </c>
      <c r="D547" s="295" t="s">
        <v>853</v>
      </c>
      <c r="E547" s="301">
        <v>45901.0</v>
      </c>
      <c r="F547" s="295" t="s">
        <v>854</v>
      </c>
      <c r="G547" s="295" t="s">
        <v>303</v>
      </c>
      <c r="H547" s="295" t="s">
        <v>304</v>
      </c>
      <c r="I547" s="308">
        <v>3506.0</v>
      </c>
      <c r="J547" s="309">
        <v>1.0</v>
      </c>
      <c r="K547" s="295" t="s">
        <v>196</v>
      </c>
      <c r="L547" s="309">
        <v>1016.1</v>
      </c>
      <c r="M547" s="309">
        <v>914.49</v>
      </c>
    </row>
    <row r="548" ht="15.0" customHeight="1">
      <c r="A548" s="264">
        <v>45901.0</v>
      </c>
      <c r="B548" s="302">
        <v>45906.0</v>
      </c>
      <c r="C548" s="302" t="s">
        <v>591</v>
      </c>
      <c r="D548" s="302" t="s">
        <v>592</v>
      </c>
      <c r="E548" s="302">
        <v>45906.0</v>
      </c>
      <c r="F548" s="302" t="s">
        <v>855</v>
      </c>
      <c r="G548" s="302" t="s">
        <v>214</v>
      </c>
      <c r="H548" s="302" t="s">
        <v>410</v>
      </c>
      <c r="I548" s="306">
        <v>9989.0</v>
      </c>
      <c r="J548" s="307">
        <v>1.0</v>
      </c>
      <c r="K548" s="302" t="s">
        <v>196</v>
      </c>
      <c r="L548" s="307">
        <v>1475.0</v>
      </c>
      <c r="M548" s="307">
        <v>1475.0</v>
      </c>
    </row>
    <row r="549" ht="15.0" customHeight="1">
      <c r="A549" s="264">
        <v>45901.0</v>
      </c>
      <c r="B549" s="300"/>
      <c r="C549" s="272"/>
      <c r="D549" s="272"/>
      <c r="E549" s="300"/>
      <c r="F549" s="272"/>
      <c r="G549" s="272" t="s">
        <v>197</v>
      </c>
      <c r="H549" s="272" t="s">
        <v>198</v>
      </c>
      <c r="I549" s="314">
        <v>9968.0</v>
      </c>
      <c r="J549" s="315">
        <v>1.0</v>
      </c>
      <c r="K549" s="272" t="s">
        <v>196</v>
      </c>
      <c r="L549" s="315">
        <v>350.0</v>
      </c>
      <c r="M549" s="315">
        <v>350.0</v>
      </c>
    </row>
    <row r="550" ht="15.0" customHeight="1">
      <c r="A550" s="264">
        <v>45901.0</v>
      </c>
      <c r="B550" s="305">
        <v>45906.0</v>
      </c>
      <c r="C550" s="284" t="s">
        <v>856</v>
      </c>
      <c r="D550" s="284" t="s">
        <v>857</v>
      </c>
      <c r="E550" s="305">
        <v>45906.0</v>
      </c>
      <c r="F550" s="284" t="s">
        <v>858</v>
      </c>
      <c r="G550" s="284" t="s">
        <v>242</v>
      </c>
      <c r="H550" s="284" t="s">
        <v>756</v>
      </c>
      <c r="I550" s="310">
        <v>8477.0</v>
      </c>
      <c r="J550" s="311">
        <v>1.0</v>
      </c>
      <c r="K550" s="284" t="s">
        <v>196</v>
      </c>
      <c r="L550" s="311">
        <v>71500.0</v>
      </c>
      <c r="M550" s="311">
        <v>71500.0</v>
      </c>
    </row>
    <row r="551" ht="15.0" customHeight="1">
      <c r="A551" s="264">
        <v>45901.0</v>
      </c>
      <c r="B551" s="303"/>
      <c r="C551" s="266"/>
      <c r="D551" s="266"/>
      <c r="E551" s="303"/>
      <c r="F551" s="266"/>
      <c r="G551" s="266" t="s">
        <v>193</v>
      </c>
      <c r="H551" s="266" t="s">
        <v>194</v>
      </c>
      <c r="I551" s="312">
        <v>8.44311E7</v>
      </c>
      <c r="J551" s="313">
        <v>1.0</v>
      </c>
      <c r="K551" s="266" t="s">
        <v>196</v>
      </c>
      <c r="L551" s="313">
        <v>1400.0</v>
      </c>
      <c r="M551" s="313">
        <v>0.0</v>
      </c>
    </row>
    <row r="552" ht="15.0" customHeight="1">
      <c r="A552" s="264">
        <v>45901.0</v>
      </c>
      <c r="B552" s="303"/>
      <c r="C552" s="266"/>
      <c r="D552" s="266"/>
      <c r="E552" s="303"/>
      <c r="F552" s="266"/>
      <c r="G552" s="266" t="s">
        <v>193</v>
      </c>
      <c r="H552" s="266" t="s">
        <v>248</v>
      </c>
      <c r="I552" s="312">
        <v>8443.0</v>
      </c>
      <c r="J552" s="313">
        <v>1.0</v>
      </c>
      <c r="K552" s="266" t="s">
        <v>196</v>
      </c>
      <c r="L552" s="313">
        <v>1400.0</v>
      </c>
      <c r="M552" s="313">
        <v>0.0</v>
      </c>
    </row>
    <row r="553" ht="15.0" customHeight="1">
      <c r="A553" s="264">
        <v>45901.0</v>
      </c>
      <c r="B553" s="300"/>
      <c r="C553" s="272"/>
      <c r="D553" s="272"/>
      <c r="E553" s="300"/>
      <c r="F553" s="272"/>
      <c r="G553" s="272" t="s">
        <v>197</v>
      </c>
      <c r="H553" s="282" t="s">
        <v>859</v>
      </c>
      <c r="I553" s="314">
        <v>8477.0</v>
      </c>
      <c r="J553" s="315">
        <v>1.0</v>
      </c>
      <c r="K553" s="272" t="s">
        <v>196</v>
      </c>
      <c r="L553" s="315">
        <v>5000.0</v>
      </c>
      <c r="M553" s="315">
        <v>0.0</v>
      </c>
    </row>
    <row r="554" ht="15.0" customHeight="1">
      <c r="A554" s="264">
        <v>45901.0</v>
      </c>
      <c r="B554" s="300"/>
      <c r="C554" s="272"/>
      <c r="D554" s="272"/>
      <c r="E554" s="300"/>
      <c r="F554" s="272"/>
      <c r="G554" s="272" t="s">
        <v>197</v>
      </c>
      <c r="H554" s="272" t="s">
        <v>198</v>
      </c>
      <c r="I554" s="314">
        <v>9968.0</v>
      </c>
      <c r="J554" s="315">
        <v>1.0</v>
      </c>
      <c r="K554" s="272" t="s">
        <v>196</v>
      </c>
      <c r="L554" s="315">
        <v>1000.0</v>
      </c>
      <c r="M554" s="315">
        <v>0.0</v>
      </c>
    </row>
    <row r="555" ht="15.0" customHeight="1">
      <c r="A555" s="264">
        <v>45901.0</v>
      </c>
      <c r="B555" s="300">
        <v>45906.0</v>
      </c>
      <c r="C555" s="272" t="s">
        <v>860</v>
      </c>
      <c r="D555" s="272" t="s">
        <v>861</v>
      </c>
      <c r="E555" s="300">
        <v>45906.0</v>
      </c>
      <c r="F555" s="272" t="s">
        <v>862</v>
      </c>
      <c r="G555" s="272" t="s">
        <v>197</v>
      </c>
      <c r="H555" s="272" t="s">
        <v>863</v>
      </c>
      <c r="I555" s="314">
        <v>3917.0</v>
      </c>
      <c r="J555" s="315">
        <v>3.0</v>
      </c>
      <c r="K555" s="272" t="s">
        <v>196</v>
      </c>
      <c r="L555" s="315">
        <v>24607.0</v>
      </c>
      <c r="M555" s="315">
        <v>73821.0</v>
      </c>
    </row>
    <row r="556" ht="15.0" customHeight="1">
      <c r="A556" s="264">
        <v>45901.0</v>
      </c>
      <c r="B556" s="300"/>
      <c r="C556" s="272"/>
      <c r="D556" s="272"/>
      <c r="E556" s="300"/>
      <c r="F556" s="272"/>
      <c r="G556" s="272" t="s">
        <v>197</v>
      </c>
      <c r="H556" s="272" t="s">
        <v>864</v>
      </c>
      <c r="I556" s="314">
        <v>3917.0</v>
      </c>
      <c r="J556" s="315">
        <v>1.0</v>
      </c>
      <c r="K556" s="272" t="s">
        <v>196</v>
      </c>
      <c r="L556" s="315">
        <v>24607.0</v>
      </c>
      <c r="M556" s="315">
        <v>24607.0</v>
      </c>
    </row>
    <row r="557" ht="15.0" customHeight="1">
      <c r="A557" s="264">
        <v>45901.0</v>
      </c>
      <c r="B557" s="301">
        <v>45906.0</v>
      </c>
      <c r="C557" s="295" t="s">
        <v>865</v>
      </c>
      <c r="D557" s="295"/>
      <c r="E557" s="301">
        <v>45906.0</v>
      </c>
      <c r="F557" s="295" t="s">
        <v>866</v>
      </c>
      <c r="G557" s="295" t="s">
        <v>303</v>
      </c>
      <c r="H557" s="295" t="s">
        <v>304</v>
      </c>
      <c r="I557" s="308">
        <v>3506.0</v>
      </c>
      <c r="J557" s="309">
        <v>1.0</v>
      </c>
      <c r="K557" s="295" t="s">
        <v>196</v>
      </c>
      <c r="L557" s="309">
        <v>1016.1</v>
      </c>
      <c r="M557" s="309">
        <v>914.49</v>
      </c>
    </row>
    <row r="558" ht="15.0" customHeight="1">
      <c r="A558" s="264">
        <v>45901.0</v>
      </c>
      <c r="B558" s="301">
        <v>45906.0</v>
      </c>
      <c r="C558" s="295" t="s">
        <v>553</v>
      </c>
      <c r="D558" s="295" t="s">
        <v>554</v>
      </c>
      <c r="E558" s="301">
        <v>45906.0</v>
      </c>
      <c r="F558" s="295" t="s">
        <v>867</v>
      </c>
      <c r="G558" s="295" t="s">
        <v>303</v>
      </c>
      <c r="H558" s="295" t="s">
        <v>304</v>
      </c>
      <c r="I558" s="308">
        <v>3506.0</v>
      </c>
      <c r="J558" s="309">
        <v>2.0</v>
      </c>
      <c r="K558" s="295" t="s">
        <v>196</v>
      </c>
      <c r="L558" s="309">
        <v>1016.1</v>
      </c>
      <c r="M558" s="309">
        <v>2032.2</v>
      </c>
    </row>
    <row r="559" ht="15.0" customHeight="1">
      <c r="A559" s="264">
        <v>45901.0</v>
      </c>
      <c r="B559" s="301">
        <v>45906.0</v>
      </c>
      <c r="C559" s="295" t="s">
        <v>868</v>
      </c>
      <c r="D559" s="295"/>
      <c r="E559" s="301">
        <v>45906.0</v>
      </c>
      <c r="F559" s="295" t="s">
        <v>869</v>
      </c>
      <c r="G559" s="295" t="s">
        <v>303</v>
      </c>
      <c r="H559" s="295" t="s">
        <v>304</v>
      </c>
      <c r="I559" s="308">
        <v>3506.0</v>
      </c>
      <c r="J559" s="309">
        <v>1.0</v>
      </c>
      <c r="K559" s="295" t="s">
        <v>196</v>
      </c>
      <c r="L559" s="309">
        <v>1016.1</v>
      </c>
      <c r="M559" s="309">
        <v>914.49</v>
      </c>
    </row>
    <row r="560" ht="15.0" customHeight="1">
      <c r="A560" s="264">
        <v>45901.0</v>
      </c>
      <c r="B560" s="302">
        <v>45913.0</v>
      </c>
      <c r="C560" s="302" t="s">
        <v>591</v>
      </c>
      <c r="D560" s="302" t="s">
        <v>592</v>
      </c>
      <c r="E560" s="302">
        <v>45913.0</v>
      </c>
      <c r="F560" s="302" t="s">
        <v>870</v>
      </c>
      <c r="G560" s="302" t="s">
        <v>214</v>
      </c>
      <c r="H560" s="302" t="s">
        <v>410</v>
      </c>
      <c r="I560" s="306">
        <v>9989.0</v>
      </c>
      <c r="J560" s="278">
        <v>2.0</v>
      </c>
      <c r="K560" s="302" t="s">
        <v>196</v>
      </c>
      <c r="L560" s="307">
        <v>2930.0</v>
      </c>
      <c r="M560" s="307">
        <v>5860.0</v>
      </c>
    </row>
    <row r="561" ht="15.0" customHeight="1">
      <c r="A561" s="264">
        <v>45901.0</v>
      </c>
      <c r="B561" s="300"/>
      <c r="C561" s="272"/>
      <c r="D561" s="272"/>
      <c r="E561" s="300"/>
      <c r="F561" s="272"/>
      <c r="G561" s="272" t="s">
        <v>197</v>
      </c>
      <c r="H561" s="272" t="s">
        <v>198</v>
      </c>
      <c r="I561" s="314">
        <v>9968.0</v>
      </c>
      <c r="J561" s="272">
        <v>1.0</v>
      </c>
      <c r="K561" s="272" t="s">
        <v>196</v>
      </c>
      <c r="L561" s="315">
        <v>350.0</v>
      </c>
      <c r="M561" s="315">
        <v>350.0</v>
      </c>
    </row>
    <row r="562" ht="15.0" customHeight="1">
      <c r="A562" s="264">
        <v>45901.0</v>
      </c>
      <c r="B562" s="301">
        <v>45913.0</v>
      </c>
      <c r="C562" s="295" t="s">
        <v>871</v>
      </c>
      <c r="D562" s="295"/>
      <c r="E562" s="301">
        <v>45913.0</v>
      </c>
      <c r="F562" s="295" t="s">
        <v>872</v>
      </c>
      <c r="G562" s="295" t="s">
        <v>303</v>
      </c>
      <c r="H562" s="295" t="s">
        <v>304</v>
      </c>
      <c r="I562" s="308">
        <v>3506.0</v>
      </c>
      <c r="J562" s="295">
        <v>1.0</v>
      </c>
      <c r="K562" s="295" t="s">
        <v>196</v>
      </c>
      <c r="L562" s="309">
        <v>1016.1</v>
      </c>
      <c r="M562" s="309">
        <v>1016.1</v>
      </c>
    </row>
    <row r="563" ht="15.0" customHeight="1">
      <c r="A563" s="264">
        <v>45901.0</v>
      </c>
      <c r="B563" s="301">
        <v>45913.0</v>
      </c>
      <c r="C563" s="295" t="s">
        <v>873</v>
      </c>
      <c r="D563" s="295"/>
      <c r="E563" s="301">
        <v>45913.0</v>
      </c>
      <c r="F563" s="295" t="s">
        <v>874</v>
      </c>
      <c r="G563" s="295" t="s">
        <v>303</v>
      </c>
      <c r="H563" s="295" t="s">
        <v>304</v>
      </c>
      <c r="I563" s="308">
        <v>3506.0</v>
      </c>
      <c r="J563" s="295">
        <v>1.0</v>
      </c>
      <c r="K563" s="295" t="s">
        <v>196</v>
      </c>
      <c r="L563" s="309">
        <v>1016.1</v>
      </c>
      <c r="M563" s="309">
        <v>1016.1</v>
      </c>
    </row>
    <row r="564" ht="15.0" customHeight="1">
      <c r="A564" s="264">
        <v>45901.0</v>
      </c>
      <c r="B564" s="301">
        <v>45913.0</v>
      </c>
      <c r="C564" s="295" t="s">
        <v>875</v>
      </c>
      <c r="D564" s="295"/>
      <c r="E564" s="301">
        <v>45913.0</v>
      </c>
      <c r="F564" s="295" t="s">
        <v>876</v>
      </c>
      <c r="G564" s="295" t="s">
        <v>303</v>
      </c>
      <c r="H564" s="295" t="s">
        <v>304</v>
      </c>
      <c r="I564" s="308">
        <v>3506.0</v>
      </c>
      <c r="J564" s="295">
        <v>1.0</v>
      </c>
      <c r="K564" s="295" t="s">
        <v>196</v>
      </c>
      <c r="L564" s="309">
        <v>1016.1</v>
      </c>
      <c r="M564" s="309">
        <v>914.49</v>
      </c>
    </row>
    <row r="565" ht="15.0" customHeight="1">
      <c r="A565" s="264">
        <v>45901.0</v>
      </c>
      <c r="B565" s="305">
        <v>45912.0</v>
      </c>
      <c r="C565" s="284" t="s">
        <v>250</v>
      </c>
      <c r="D565" s="284" t="s">
        <v>251</v>
      </c>
      <c r="E565" s="305">
        <v>45912.0</v>
      </c>
      <c r="F565" s="284" t="s">
        <v>877</v>
      </c>
      <c r="G565" s="284" t="s">
        <v>242</v>
      </c>
      <c r="H565" s="284" t="s">
        <v>878</v>
      </c>
      <c r="I565" s="310"/>
      <c r="J565" s="284">
        <v>1.0</v>
      </c>
      <c r="K565" s="284" t="s">
        <v>196</v>
      </c>
      <c r="L565" s="311">
        <v>57200.0</v>
      </c>
      <c r="M565" s="311">
        <v>57200.0</v>
      </c>
    </row>
    <row r="566" ht="15.0" customHeight="1">
      <c r="A566" s="264">
        <v>45901.0</v>
      </c>
      <c r="B566" s="300"/>
      <c r="C566" s="272"/>
      <c r="D566" s="272"/>
      <c r="E566" s="300"/>
      <c r="F566" s="272"/>
      <c r="G566" s="272" t="s">
        <v>197</v>
      </c>
      <c r="H566" s="272" t="s">
        <v>879</v>
      </c>
      <c r="I566" s="314">
        <v>8477.0</v>
      </c>
      <c r="J566" s="272">
        <v>1.0</v>
      </c>
      <c r="K566" s="272" t="s">
        <v>196</v>
      </c>
      <c r="L566" s="315">
        <v>2800.0</v>
      </c>
      <c r="M566" s="315">
        <v>2800.0</v>
      </c>
    </row>
    <row r="567" ht="15.0" customHeight="1">
      <c r="A567" s="264">
        <v>45901.0</v>
      </c>
      <c r="B567" s="300"/>
      <c r="C567" s="272"/>
      <c r="D567" s="272"/>
      <c r="E567" s="300"/>
      <c r="F567" s="272"/>
      <c r="G567" s="272" t="s">
        <v>197</v>
      </c>
      <c r="H567" s="282" t="s">
        <v>219</v>
      </c>
      <c r="I567" s="314">
        <v>8477.0</v>
      </c>
      <c r="J567" s="272">
        <v>1.0</v>
      </c>
      <c r="K567" s="272" t="s">
        <v>196</v>
      </c>
      <c r="L567" s="315">
        <v>5500.0</v>
      </c>
      <c r="M567" s="315">
        <v>5500.0</v>
      </c>
    </row>
    <row r="568" ht="15.0" customHeight="1">
      <c r="A568" s="264">
        <v>45901.0</v>
      </c>
      <c r="B568" s="301">
        <v>45912.0</v>
      </c>
      <c r="C568" s="295" t="s">
        <v>880</v>
      </c>
      <c r="D568" s="295"/>
      <c r="E568" s="301">
        <v>45912.0</v>
      </c>
      <c r="F568" s="295" t="s">
        <v>881</v>
      </c>
      <c r="G568" s="295" t="s">
        <v>303</v>
      </c>
      <c r="H568" s="295" t="s">
        <v>304</v>
      </c>
      <c r="I568" s="308">
        <v>3506.0</v>
      </c>
      <c r="J568" s="295">
        <v>1.0</v>
      </c>
      <c r="K568" s="295" t="s">
        <v>196</v>
      </c>
      <c r="L568" s="309">
        <v>1016.1</v>
      </c>
      <c r="M568" s="309">
        <v>1016.1</v>
      </c>
    </row>
    <row r="569" ht="15.0" customHeight="1">
      <c r="A569" s="264">
        <v>45901.0</v>
      </c>
      <c r="B569" s="303">
        <v>45911.0</v>
      </c>
      <c r="C569" s="266" t="s">
        <v>882</v>
      </c>
      <c r="D569" s="266" t="s">
        <v>758</v>
      </c>
      <c r="E569" s="303">
        <v>45911.0</v>
      </c>
      <c r="F569" s="266" t="s">
        <v>883</v>
      </c>
      <c r="G569" s="266" t="s">
        <v>193</v>
      </c>
      <c r="H569" s="266" t="s">
        <v>884</v>
      </c>
      <c r="I569" s="312">
        <v>8443.0</v>
      </c>
      <c r="J569" s="266">
        <v>2.0</v>
      </c>
      <c r="K569" s="266" t="s">
        <v>196</v>
      </c>
      <c r="L569" s="313">
        <v>1800.0</v>
      </c>
      <c r="M569" s="313">
        <v>3600.0</v>
      </c>
    </row>
    <row r="570" ht="15.0" customHeight="1">
      <c r="A570" s="264">
        <v>45901.0</v>
      </c>
      <c r="B570" s="301">
        <v>45911.0</v>
      </c>
      <c r="C570" s="295" t="s">
        <v>885</v>
      </c>
      <c r="D570" s="295"/>
      <c r="E570" s="301">
        <v>45911.0</v>
      </c>
      <c r="F570" s="295" t="s">
        <v>886</v>
      </c>
      <c r="G570" s="295" t="s">
        <v>303</v>
      </c>
      <c r="H570" s="295" t="s">
        <v>304</v>
      </c>
      <c r="I570" s="308">
        <v>3506.0</v>
      </c>
      <c r="J570" s="295">
        <v>1.0</v>
      </c>
      <c r="K570" s="295" t="s">
        <v>196</v>
      </c>
      <c r="L570" s="309">
        <v>1016.1</v>
      </c>
      <c r="M570" s="309">
        <v>1016.1</v>
      </c>
    </row>
    <row r="571" ht="15.0" customHeight="1">
      <c r="A571" s="264">
        <v>45901.0</v>
      </c>
      <c r="B571" s="300">
        <v>45910.0</v>
      </c>
      <c r="C571" s="272" t="s">
        <v>279</v>
      </c>
      <c r="D571" s="272" t="s">
        <v>280</v>
      </c>
      <c r="E571" s="300">
        <v>45910.0</v>
      </c>
      <c r="F571" s="272" t="s">
        <v>887</v>
      </c>
      <c r="G571" s="272" t="s">
        <v>197</v>
      </c>
      <c r="H571" s="272" t="s">
        <v>888</v>
      </c>
      <c r="I571" s="314">
        <v>8477.0</v>
      </c>
      <c r="J571" s="272">
        <v>1.0</v>
      </c>
      <c r="K571" s="272" t="s">
        <v>196</v>
      </c>
      <c r="L571" s="315">
        <v>4800.0</v>
      </c>
      <c r="M571" s="315">
        <v>4800.0</v>
      </c>
    </row>
    <row r="572" ht="15.0" customHeight="1">
      <c r="A572" s="264">
        <v>45901.0</v>
      </c>
      <c r="B572" s="300"/>
      <c r="C572" s="272"/>
      <c r="D572" s="272"/>
      <c r="E572" s="300"/>
      <c r="F572" s="272"/>
      <c r="G572" s="272" t="s">
        <v>197</v>
      </c>
      <c r="H572" s="272" t="s">
        <v>889</v>
      </c>
      <c r="I572" s="314">
        <v>8477.0</v>
      </c>
      <c r="J572" s="272">
        <v>1.0</v>
      </c>
      <c r="K572" s="272" t="s">
        <v>196</v>
      </c>
      <c r="L572" s="315">
        <v>2500.0</v>
      </c>
      <c r="M572" s="315">
        <v>2500.0</v>
      </c>
    </row>
    <row r="573" ht="15.0" customHeight="1">
      <c r="A573" s="264">
        <v>45901.0</v>
      </c>
      <c r="B573" s="300"/>
      <c r="C573" s="272"/>
      <c r="D573" s="272"/>
      <c r="E573" s="300"/>
      <c r="F573" s="272"/>
      <c r="G573" s="272" t="s">
        <v>197</v>
      </c>
      <c r="H573" s="272" t="s">
        <v>890</v>
      </c>
      <c r="I573" s="314">
        <v>8477.0</v>
      </c>
      <c r="J573" s="272">
        <v>1.0</v>
      </c>
      <c r="K573" s="272" t="s">
        <v>196</v>
      </c>
      <c r="L573" s="315">
        <v>6000.0</v>
      </c>
      <c r="M573" s="315">
        <v>6000.0</v>
      </c>
    </row>
    <row r="574" ht="15.0" customHeight="1">
      <c r="A574" s="264">
        <v>45901.0</v>
      </c>
      <c r="B574" s="300"/>
      <c r="C574" s="272"/>
      <c r="D574" s="272"/>
      <c r="E574" s="300"/>
      <c r="F574" s="272"/>
      <c r="G574" s="272" t="s">
        <v>197</v>
      </c>
      <c r="H574" s="272" t="s">
        <v>891</v>
      </c>
      <c r="I574" s="314">
        <v>8477.0</v>
      </c>
      <c r="J574" s="272">
        <v>1.0</v>
      </c>
      <c r="K574" s="272" t="s">
        <v>196</v>
      </c>
      <c r="L574" s="315">
        <v>750.0</v>
      </c>
      <c r="M574" s="315">
        <v>750.0</v>
      </c>
    </row>
    <row r="575" ht="15.0" customHeight="1">
      <c r="A575" s="264">
        <v>45901.0</v>
      </c>
      <c r="B575" s="300"/>
      <c r="C575" s="272"/>
      <c r="D575" s="272"/>
      <c r="E575" s="300"/>
      <c r="F575" s="272"/>
      <c r="G575" s="272" t="s">
        <v>197</v>
      </c>
      <c r="H575" s="272" t="s">
        <v>892</v>
      </c>
      <c r="I575" s="314">
        <v>8477.0</v>
      </c>
      <c r="J575" s="272">
        <v>1.0</v>
      </c>
      <c r="K575" s="272" t="s">
        <v>205</v>
      </c>
      <c r="L575" s="315">
        <v>20.0</v>
      </c>
      <c r="M575" s="315">
        <v>20.0</v>
      </c>
    </row>
    <row r="576" ht="15.0" customHeight="1">
      <c r="A576" s="264">
        <v>45901.0</v>
      </c>
      <c r="B576" s="300"/>
      <c r="C576" s="272"/>
      <c r="D576" s="272"/>
      <c r="E576" s="300"/>
      <c r="F576" s="272"/>
      <c r="G576" s="272" t="s">
        <v>197</v>
      </c>
      <c r="H576" s="272" t="s">
        <v>893</v>
      </c>
      <c r="I576" s="314">
        <v>8477.0</v>
      </c>
      <c r="J576" s="272">
        <v>1.0</v>
      </c>
      <c r="K576" s="272" t="s">
        <v>205</v>
      </c>
      <c r="L576" s="315">
        <v>20.0</v>
      </c>
      <c r="M576" s="315">
        <v>20.0</v>
      </c>
    </row>
    <row r="577" ht="15.0" customHeight="1">
      <c r="A577" s="264">
        <v>45901.0</v>
      </c>
      <c r="B577" s="300"/>
      <c r="C577" s="272"/>
      <c r="D577" s="272"/>
      <c r="E577" s="300"/>
      <c r="F577" s="272"/>
      <c r="G577" s="272" t="s">
        <v>197</v>
      </c>
      <c r="H577" s="272" t="s">
        <v>894</v>
      </c>
      <c r="I577" s="314">
        <v>8477.0</v>
      </c>
      <c r="J577" s="272">
        <v>1.0</v>
      </c>
      <c r="K577" s="272" t="s">
        <v>205</v>
      </c>
      <c r="L577" s="315">
        <v>20.0</v>
      </c>
      <c r="M577" s="315">
        <v>20.0</v>
      </c>
    </row>
    <row r="578" ht="15.0" customHeight="1">
      <c r="A578" s="264">
        <v>45901.0</v>
      </c>
      <c r="B578" s="300"/>
      <c r="C578" s="272"/>
      <c r="D578" s="272"/>
      <c r="E578" s="300"/>
      <c r="F578" s="272"/>
      <c r="G578" s="272" t="s">
        <v>197</v>
      </c>
      <c r="H578" s="272" t="s">
        <v>895</v>
      </c>
      <c r="I578" s="314">
        <v>8477.0</v>
      </c>
      <c r="J578" s="272">
        <v>1.0</v>
      </c>
      <c r="K578" s="272" t="s">
        <v>196</v>
      </c>
      <c r="L578" s="315">
        <v>120.0</v>
      </c>
      <c r="M578" s="315">
        <v>120.0</v>
      </c>
    </row>
    <row r="579" ht="15.0" customHeight="1">
      <c r="A579" s="264">
        <v>45901.0</v>
      </c>
      <c r="B579" s="300"/>
      <c r="C579" s="272"/>
      <c r="D579" s="272"/>
      <c r="E579" s="300"/>
      <c r="F579" s="272"/>
      <c r="G579" s="272" t="s">
        <v>197</v>
      </c>
      <c r="H579" s="272" t="s">
        <v>896</v>
      </c>
      <c r="I579" s="314">
        <v>8477.0</v>
      </c>
      <c r="J579" s="272">
        <v>1.0</v>
      </c>
      <c r="K579" s="272" t="s">
        <v>196</v>
      </c>
      <c r="L579" s="315">
        <v>250.0</v>
      </c>
      <c r="M579" s="315">
        <v>0.0</v>
      </c>
    </row>
    <row r="580" ht="15.0" customHeight="1">
      <c r="A580" s="264">
        <v>45901.0</v>
      </c>
      <c r="B580" s="300"/>
      <c r="C580" s="272"/>
      <c r="D580" s="272"/>
      <c r="E580" s="300"/>
      <c r="F580" s="272"/>
      <c r="G580" s="272" t="s">
        <v>197</v>
      </c>
      <c r="H580" s="272" t="s">
        <v>897</v>
      </c>
      <c r="I580" s="314">
        <v>8477.0</v>
      </c>
      <c r="J580" s="272">
        <v>1.0</v>
      </c>
      <c r="K580" s="272" t="s">
        <v>196</v>
      </c>
      <c r="L580" s="315">
        <v>5500.0</v>
      </c>
      <c r="M580" s="315">
        <v>5500.0</v>
      </c>
    </row>
    <row r="581" ht="15.0" customHeight="1">
      <c r="A581" s="264">
        <v>45901.0</v>
      </c>
      <c r="B581" s="300"/>
      <c r="C581" s="272"/>
      <c r="D581" s="272"/>
      <c r="E581" s="300"/>
      <c r="F581" s="272"/>
      <c r="G581" s="272" t="s">
        <v>197</v>
      </c>
      <c r="H581" s="272" t="s">
        <v>898</v>
      </c>
      <c r="I581" s="314">
        <v>8477.0</v>
      </c>
      <c r="J581" s="272">
        <v>3.0</v>
      </c>
      <c r="K581" s="272" t="s">
        <v>196</v>
      </c>
      <c r="L581" s="315">
        <v>600.0</v>
      </c>
      <c r="M581" s="315">
        <v>1800.0</v>
      </c>
    </row>
    <row r="582" ht="15.0" customHeight="1">
      <c r="A582" s="264">
        <v>45901.0</v>
      </c>
      <c r="B582" s="300"/>
      <c r="C582" s="272"/>
      <c r="D582" s="272"/>
      <c r="E582" s="300"/>
      <c r="F582" s="272"/>
      <c r="G582" s="272" t="s">
        <v>197</v>
      </c>
      <c r="H582" s="272" t="s">
        <v>439</v>
      </c>
      <c r="I582" s="314">
        <v>8477.0</v>
      </c>
      <c r="J582" s="272">
        <v>1.0</v>
      </c>
      <c r="K582" s="272" t="s">
        <v>196</v>
      </c>
      <c r="L582" s="315">
        <v>250.0</v>
      </c>
      <c r="M582" s="315">
        <v>250.0</v>
      </c>
    </row>
    <row r="583" ht="15.0" customHeight="1">
      <c r="A583" s="264">
        <v>45901.0</v>
      </c>
      <c r="B583" s="300"/>
      <c r="C583" s="272"/>
      <c r="D583" s="272"/>
      <c r="E583" s="300"/>
      <c r="F583" s="272"/>
      <c r="G583" s="272" t="s">
        <v>197</v>
      </c>
      <c r="H583" s="272" t="s">
        <v>224</v>
      </c>
      <c r="I583" s="314">
        <v>8477.0</v>
      </c>
      <c r="J583" s="272">
        <v>2.0</v>
      </c>
      <c r="K583" s="272" t="s">
        <v>196</v>
      </c>
      <c r="L583" s="315">
        <v>450.0</v>
      </c>
      <c r="M583" s="315">
        <v>450.0</v>
      </c>
    </row>
    <row r="584" ht="15.0" customHeight="1">
      <c r="A584" s="264">
        <v>45901.0</v>
      </c>
      <c r="B584" s="300"/>
      <c r="C584" s="272"/>
      <c r="D584" s="272"/>
      <c r="E584" s="300"/>
      <c r="F584" s="272"/>
      <c r="G584" s="272" t="s">
        <v>197</v>
      </c>
      <c r="H584" s="272" t="s">
        <v>231</v>
      </c>
      <c r="I584" s="314">
        <v>998719.0</v>
      </c>
      <c r="J584" s="272">
        <v>6.0</v>
      </c>
      <c r="K584" s="272" t="s">
        <v>232</v>
      </c>
      <c r="L584" s="315">
        <v>150.0</v>
      </c>
      <c r="M584" s="315">
        <v>900.0</v>
      </c>
    </row>
    <row r="585" ht="15.0" customHeight="1">
      <c r="A585" s="264">
        <v>45901.0</v>
      </c>
      <c r="B585" s="300"/>
      <c r="C585" s="272"/>
      <c r="D585" s="272"/>
      <c r="E585" s="300"/>
      <c r="F585" s="272"/>
      <c r="G585" s="272" t="s">
        <v>197</v>
      </c>
      <c r="H585" s="272" t="s">
        <v>340</v>
      </c>
      <c r="I585" s="314">
        <v>8477.0</v>
      </c>
      <c r="J585" s="272">
        <v>4.0</v>
      </c>
      <c r="K585" s="272" t="s">
        <v>205</v>
      </c>
      <c r="L585" s="315">
        <v>250.0</v>
      </c>
      <c r="M585" s="315">
        <v>0.0</v>
      </c>
    </row>
    <row r="586" ht="15.0" customHeight="1">
      <c r="A586" s="264">
        <v>45901.0</v>
      </c>
      <c r="B586" s="300"/>
      <c r="C586" s="272"/>
      <c r="D586" s="272"/>
      <c r="E586" s="300"/>
      <c r="F586" s="272"/>
      <c r="G586" s="272" t="s">
        <v>197</v>
      </c>
      <c r="H586" s="272" t="s">
        <v>198</v>
      </c>
      <c r="I586" s="314">
        <v>9968.0</v>
      </c>
      <c r="J586" s="272">
        <v>1.0</v>
      </c>
      <c r="K586" s="272" t="s">
        <v>196</v>
      </c>
      <c r="L586" s="315">
        <v>350.0</v>
      </c>
      <c r="M586" s="315">
        <v>0.0</v>
      </c>
    </row>
    <row r="587" ht="15.0" customHeight="1">
      <c r="A587" s="264">
        <v>45901.0</v>
      </c>
      <c r="B587" s="300">
        <v>45910.0</v>
      </c>
      <c r="C587" s="282" t="s">
        <v>899</v>
      </c>
      <c r="D587" s="272" t="s">
        <v>900</v>
      </c>
      <c r="E587" s="300">
        <v>45910.0</v>
      </c>
      <c r="F587" s="272" t="s">
        <v>901</v>
      </c>
      <c r="G587" s="272" t="s">
        <v>197</v>
      </c>
      <c r="H587" s="272" t="s">
        <v>902</v>
      </c>
      <c r="I587" s="314">
        <v>8.482103E7</v>
      </c>
      <c r="J587" s="272">
        <v>1.0</v>
      </c>
      <c r="K587" s="272" t="s">
        <v>196</v>
      </c>
      <c r="L587" s="315">
        <v>8000.0</v>
      </c>
      <c r="M587" s="315">
        <v>8000.0</v>
      </c>
    </row>
    <row r="588" ht="15.0" customHeight="1">
      <c r="A588" s="264">
        <v>45901.0</v>
      </c>
      <c r="B588" s="300"/>
      <c r="C588" s="272"/>
      <c r="D588" s="272"/>
      <c r="E588" s="300"/>
      <c r="F588" s="272"/>
      <c r="G588" s="272" t="s">
        <v>197</v>
      </c>
      <c r="H588" s="272" t="s">
        <v>903</v>
      </c>
      <c r="I588" s="314">
        <v>7.31815E7</v>
      </c>
      <c r="J588" s="272">
        <v>3.0</v>
      </c>
      <c r="K588" s="272" t="s">
        <v>196</v>
      </c>
      <c r="L588" s="315">
        <v>15.0</v>
      </c>
      <c r="M588" s="315">
        <v>45.0</v>
      </c>
    </row>
    <row r="589" ht="15.0" customHeight="1">
      <c r="A589" s="264">
        <v>45901.0</v>
      </c>
      <c r="B589" s="300"/>
      <c r="C589" s="272"/>
      <c r="D589" s="272"/>
      <c r="E589" s="300"/>
      <c r="F589" s="272"/>
      <c r="G589" s="272" t="s">
        <v>197</v>
      </c>
      <c r="H589" s="272" t="s">
        <v>898</v>
      </c>
      <c r="I589" s="314">
        <v>8477.0</v>
      </c>
      <c r="J589" s="272">
        <v>1.0</v>
      </c>
      <c r="K589" s="272" t="s">
        <v>196</v>
      </c>
      <c r="L589" s="315">
        <v>600.0</v>
      </c>
      <c r="M589" s="315">
        <v>600.0</v>
      </c>
    </row>
    <row r="590" ht="15.0" customHeight="1">
      <c r="A590" s="264">
        <v>45901.0</v>
      </c>
      <c r="B590" s="300"/>
      <c r="C590" s="272"/>
      <c r="D590" s="272"/>
      <c r="E590" s="300"/>
      <c r="F590" s="272"/>
      <c r="G590" s="272" t="s">
        <v>197</v>
      </c>
      <c r="H590" s="272" t="s">
        <v>388</v>
      </c>
      <c r="I590" s="314">
        <v>7.31816E7</v>
      </c>
      <c r="J590" s="272">
        <v>3.0</v>
      </c>
      <c r="K590" s="272" t="s">
        <v>196</v>
      </c>
      <c r="L590" s="315">
        <v>7.0</v>
      </c>
      <c r="M590" s="315">
        <v>21.0</v>
      </c>
    </row>
    <row r="591" ht="15.0" customHeight="1">
      <c r="A591" s="264">
        <v>45901.0</v>
      </c>
      <c r="B591" s="300"/>
      <c r="C591" s="272"/>
      <c r="D591" s="272"/>
      <c r="E591" s="300"/>
      <c r="F591" s="272"/>
      <c r="G591" s="272" t="s">
        <v>197</v>
      </c>
      <c r="H591" s="272" t="s">
        <v>377</v>
      </c>
      <c r="I591" s="314">
        <v>8477.0</v>
      </c>
      <c r="J591" s="272">
        <v>3.0</v>
      </c>
      <c r="K591" s="272" t="s">
        <v>196</v>
      </c>
      <c r="L591" s="315">
        <v>5.0</v>
      </c>
      <c r="M591" s="315">
        <v>15.0</v>
      </c>
    </row>
    <row r="592" ht="15.0" customHeight="1">
      <c r="A592" s="264">
        <v>45901.0</v>
      </c>
      <c r="B592" s="300"/>
      <c r="C592" s="272"/>
      <c r="D592" s="272"/>
      <c r="E592" s="300"/>
      <c r="F592" s="272"/>
      <c r="G592" s="272" t="s">
        <v>197</v>
      </c>
      <c r="H592" s="272" t="s">
        <v>342</v>
      </c>
      <c r="I592" s="314">
        <v>8477.0</v>
      </c>
      <c r="J592" s="272">
        <v>1.0</v>
      </c>
      <c r="K592" s="272" t="s">
        <v>196</v>
      </c>
      <c r="L592" s="315">
        <v>300.0</v>
      </c>
      <c r="M592" s="315">
        <v>300.0</v>
      </c>
    </row>
    <row r="593" ht="15.0" customHeight="1">
      <c r="A593" s="264">
        <v>45901.0</v>
      </c>
      <c r="B593" s="300"/>
      <c r="C593" s="272"/>
      <c r="D593" s="272"/>
      <c r="E593" s="300"/>
      <c r="F593" s="272"/>
      <c r="G593" s="272" t="s">
        <v>197</v>
      </c>
      <c r="H593" s="272" t="s">
        <v>904</v>
      </c>
      <c r="I593" s="314">
        <v>7318.0</v>
      </c>
      <c r="J593" s="272">
        <v>4.0</v>
      </c>
      <c r="K593" s="272" t="s">
        <v>196</v>
      </c>
      <c r="L593" s="315">
        <v>40.0</v>
      </c>
      <c r="M593" s="315">
        <v>160.0</v>
      </c>
    </row>
    <row r="594" ht="15.0" customHeight="1">
      <c r="A594" s="264">
        <v>45901.0</v>
      </c>
      <c r="B594" s="300"/>
      <c r="C594" s="272"/>
      <c r="D594" s="272"/>
      <c r="E594" s="300"/>
      <c r="F594" s="272"/>
      <c r="G594" s="272" t="s">
        <v>197</v>
      </c>
      <c r="H594" s="282" t="s">
        <v>905</v>
      </c>
      <c r="I594" s="314">
        <v>8477.0</v>
      </c>
      <c r="J594" s="272">
        <v>1.0</v>
      </c>
      <c r="K594" s="272" t="s">
        <v>196</v>
      </c>
      <c r="L594" s="315">
        <v>5999.0</v>
      </c>
      <c r="M594" s="315">
        <v>5999.0</v>
      </c>
    </row>
    <row r="595" ht="15.0" customHeight="1">
      <c r="A595" s="264">
        <v>45901.0</v>
      </c>
      <c r="B595" s="300"/>
      <c r="C595" s="272"/>
      <c r="D595" s="272"/>
      <c r="E595" s="300"/>
      <c r="F595" s="272"/>
      <c r="G595" s="272" t="s">
        <v>197</v>
      </c>
      <c r="H595" s="272"/>
      <c r="I595" s="314"/>
      <c r="J595" s="272">
        <v>0.0</v>
      </c>
      <c r="K595" s="272"/>
      <c r="L595" s="315">
        <v>0.0</v>
      </c>
      <c r="M595" s="315">
        <v>0.0</v>
      </c>
    </row>
    <row r="596" ht="15.0" customHeight="1">
      <c r="A596" s="264">
        <v>45901.0</v>
      </c>
      <c r="B596" s="300"/>
      <c r="C596" s="272"/>
      <c r="D596" s="272"/>
      <c r="E596" s="300"/>
      <c r="F596" s="272"/>
      <c r="G596" s="272" t="s">
        <v>197</v>
      </c>
      <c r="H596" s="272" t="s">
        <v>906</v>
      </c>
      <c r="I596" s="314"/>
      <c r="J596" s="272">
        <v>4.0</v>
      </c>
      <c r="K596" s="272" t="s">
        <v>232</v>
      </c>
      <c r="L596" s="315">
        <v>150.0</v>
      </c>
      <c r="M596" s="315">
        <v>600.0</v>
      </c>
    </row>
    <row r="597" ht="15.0" customHeight="1">
      <c r="A597" s="264">
        <v>45901.0</v>
      </c>
      <c r="B597" s="300"/>
      <c r="C597" s="272"/>
      <c r="D597" s="272"/>
      <c r="E597" s="300"/>
      <c r="F597" s="272"/>
      <c r="G597" s="272" t="s">
        <v>197</v>
      </c>
      <c r="H597" s="272" t="s">
        <v>907</v>
      </c>
      <c r="I597" s="314"/>
      <c r="J597" s="272">
        <v>1.0</v>
      </c>
      <c r="K597" s="272" t="s">
        <v>196</v>
      </c>
      <c r="L597" s="315">
        <v>1.0</v>
      </c>
      <c r="M597" s="315">
        <v>1.0</v>
      </c>
    </row>
    <row r="598" ht="15.0" customHeight="1">
      <c r="A598" s="264">
        <v>45901.0</v>
      </c>
      <c r="B598" s="301">
        <v>45910.0</v>
      </c>
      <c r="C598" s="295" t="s">
        <v>908</v>
      </c>
      <c r="D598" s="295"/>
      <c r="E598" s="301">
        <v>45910.0</v>
      </c>
      <c r="F598" s="295" t="s">
        <v>909</v>
      </c>
      <c r="G598" s="295" t="s">
        <v>303</v>
      </c>
      <c r="H598" s="295" t="s">
        <v>304</v>
      </c>
      <c r="I598" s="308">
        <v>3506.0</v>
      </c>
      <c r="J598" s="295">
        <v>1.0</v>
      </c>
      <c r="K598" s="295" t="s">
        <v>196</v>
      </c>
      <c r="L598" s="309">
        <v>1016.1</v>
      </c>
      <c r="M598" s="309">
        <v>1016.1</v>
      </c>
    </row>
    <row r="599" ht="15.0" customHeight="1">
      <c r="A599" s="264">
        <v>45901.0</v>
      </c>
      <c r="B599" s="301">
        <v>45910.0</v>
      </c>
      <c r="C599" s="295" t="s">
        <v>910</v>
      </c>
      <c r="D599" s="295"/>
      <c r="E599" s="301">
        <v>45910.0</v>
      </c>
      <c r="F599" s="295" t="s">
        <v>911</v>
      </c>
      <c r="G599" s="295" t="s">
        <v>303</v>
      </c>
      <c r="H599" s="295" t="s">
        <v>304</v>
      </c>
      <c r="I599" s="308">
        <v>3506.0</v>
      </c>
      <c r="J599" s="295">
        <v>1.0</v>
      </c>
      <c r="K599" s="295" t="s">
        <v>196</v>
      </c>
      <c r="L599" s="309">
        <v>1016.1</v>
      </c>
      <c r="M599" s="309">
        <v>914.49</v>
      </c>
    </row>
    <row r="600" ht="15.0" customHeight="1">
      <c r="A600" s="264">
        <v>45901.0</v>
      </c>
      <c r="B600" s="301">
        <v>45910.0</v>
      </c>
      <c r="C600" s="295" t="s">
        <v>912</v>
      </c>
      <c r="D600" s="295"/>
      <c r="E600" s="301">
        <v>45910.0</v>
      </c>
      <c r="F600" s="295" t="s">
        <v>913</v>
      </c>
      <c r="G600" s="295" t="s">
        <v>303</v>
      </c>
      <c r="H600" s="295" t="s">
        <v>487</v>
      </c>
      <c r="I600" s="308">
        <v>3506.0</v>
      </c>
      <c r="J600" s="295">
        <v>1.0</v>
      </c>
      <c r="K600" s="295" t="s">
        <v>196</v>
      </c>
      <c r="L600" s="309">
        <v>1609.32</v>
      </c>
      <c r="M600" s="309">
        <v>1609.32</v>
      </c>
    </row>
    <row r="601" ht="15.0" customHeight="1">
      <c r="A601" s="264">
        <v>45901.0</v>
      </c>
      <c r="B601" s="301">
        <v>45910.0</v>
      </c>
      <c r="C601" s="295" t="s">
        <v>914</v>
      </c>
      <c r="D601" s="295"/>
      <c r="E601" s="301">
        <v>45910.0</v>
      </c>
      <c r="F601" s="295" t="s">
        <v>915</v>
      </c>
      <c r="G601" s="295" t="s">
        <v>303</v>
      </c>
      <c r="H601" s="295" t="s">
        <v>304</v>
      </c>
      <c r="I601" s="308">
        <v>3506.0</v>
      </c>
      <c r="J601" s="295">
        <v>1.0</v>
      </c>
      <c r="K601" s="295" t="s">
        <v>196</v>
      </c>
      <c r="L601" s="309">
        <v>1016.1</v>
      </c>
      <c r="M601" s="309">
        <v>914.49</v>
      </c>
    </row>
    <row r="602" ht="15.0" customHeight="1">
      <c r="A602" s="264">
        <v>45901.0</v>
      </c>
      <c r="B602" s="301">
        <v>45910.0</v>
      </c>
      <c r="C602" s="295" t="s">
        <v>916</v>
      </c>
      <c r="D602" s="295"/>
      <c r="E602" s="301">
        <v>45910.0</v>
      </c>
      <c r="F602" s="295" t="s">
        <v>917</v>
      </c>
      <c r="G602" s="295" t="s">
        <v>303</v>
      </c>
      <c r="H602" s="295" t="s">
        <v>487</v>
      </c>
      <c r="I602" s="308">
        <v>3506.0</v>
      </c>
      <c r="J602" s="295">
        <v>1.0</v>
      </c>
      <c r="K602" s="295" t="s">
        <v>196</v>
      </c>
      <c r="L602" s="309">
        <v>1609.32</v>
      </c>
      <c r="M602" s="309">
        <v>1609.32</v>
      </c>
    </row>
    <row r="603" ht="15.0" customHeight="1">
      <c r="A603" s="264">
        <v>45901.0</v>
      </c>
      <c r="B603" s="301">
        <v>45910.0</v>
      </c>
      <c r="C603" s="295" t="s">
        <v>918</v>
      </c>
      <c r="D603" s="295"/>
      <c r="E603" s="301">
        <v>45910.0</v>
      </c>
      <c r="F603" s="295" t="s">
        <v>919</v>
      </c>
      <c r="G603" s="295" t="s">
        <v>303</v>
      </c>
      <c r="H603" s="295" t="s">
        <v>304</v>
      </c>
      <c r="I603" s="308">
        <v>3506.0</v>
      </c>
      <c r="J603" s="295">
        <v>1.0</v>
      </c>
      <c r="K603" s="295" t="s">
        <v>196</v>
      </c>
      <c r="L603" s="309">
        <v>1016.1</v>
      </c>
      <c r="M603" s="309">
        <v>914.49</v>
      </c>
    </row>
    <row r="604" ht="15.0" customHeight="1">
      <c r="A604" s="264">
        <v>45901.0</v>
      </c>
      <c r="B604" s="301">
        <v>45909.0</v>
      </c>
      <c r="C604" s="295" t="s">
        <v>920</v>
      </c>
      <c r="D604" s="295"/>
      <c r="E604" s="301">
        <v>45909.0</v>
      </c>
      <c r="F604" s="295" t="s">
        <v>921</v>
      </c>
      <c r="G604" s="295" t="s">
        <v>303</v>
      </c>
      <c r="H604" s="295" t="s">
        <v>487</v>
      </c>
      <c r="I604" s="308">
        <v>3506.0</v>
      </c>
      <c r="J604" s="295">
        <v>1.0</v>
      </c>
      <c r="K604" s="295" t="s">
        <v>196</v>
      </c>
      <c r="L604" s="309">
        <v>1609.32</v>
      </c>
      <c r="M604" s="309">
        <v>1448.39</v>
      </c>
    </row>
    <row r="605" ht="15.0" customHeight="1">
      <c r="A605" s="264">
        <v>45901.0</v>
      </c>
      <c r="B605" s="301">
        <v>45909.0</v>
      </c>
      <c r="C605" s="295" t="s">
        <v>922</v>
      </c>
      <c r="D605" s="295"/>
      <c r="E605" s="301">
        <v>45909.0</v>
      </c>
      <c r="F605" s="295" t="s">
        <v>923</v>
      </c>
      <c r="G605" s="295" t="s">
        <v>303</v>
      </c>
      <c r="H605" s="295" t="s">
        <v>304</v>
      </c>
      <c r="I605" s="308">
        <v>3506.0</v>
      </c>
      <c r="J605" s="295">
        <v>1.0</v>
      </c>
      <c r="K605" s="295" t="s">
        <v>196</v>
      </c>
      <c r="L605" s="309">
        <v>1016.1</v>
      </c>
      <c r="M605" s="309">
        <v>914.49</v>
      </c>
    </row>
    <row r="606" ht="15.0" customHeight="1">
      <c r="A606" s="264">
        <v>45901.0</v>
      </c>
      <c r="B606" s="301">
        <v>45909.0</v>
      </c>
      <c r="C606" s="295" t="s">
        <v>924</v>
      </c>
      <c r="D606" s="295"/>
      <c r="E606" s="301">
        <v>45909.0</v>
      </c>
      <c r="F606" s="295" t="s">
        <v>925</v>
      </c>
      <c r="G606" s="295" t="s">
        <v>303</v>
      </c>
      <c r="H606" s="295" t="s">
        <v>304</v>
      </c>
      <c r="I606" s="308">
        <v>3506.0</v>
      </c>
      <c r="J606" s="295">
        <v>1.0</v>
      </c>
      <c r="K606" s="295" t="s">
        <v>196</v>
      </c>
      <c r="L606" s="309">
        <v>1016.1</v>
      </c>
      <c r="M606" s="309">
        <v>1016.1</v>
      </c>
    </row>
    <row r="607" ht="15.0" customHeight="1">
      <c r="A607" s="264">
        <v>45901.0</v>
      </c>
      <c r="B607" s="301">
        <v>45908.0</v>
      </c>
      <c r="C607" s="295" t="s">
        <v>926</v>
      </c>
      <c r="D607" s="295"/>
      <c r="E607" s="301">
        <v>45908.0</v>
      </c>
      <c r="F607" s="295" t="s">
        <v>927</v>
      </c>
      <c r="G607" s="295" t="s">
        <v>303</v>
      </c>
      <c r="H607" s="295" t="s">
        <v>304</v>
      </c>
      <c r="I607" s="308">
        <v>3506.0</v>
      </c>
      <c r="J607" s="295">
        <v>1.0</v>
      </c>
      <c r="K607" s="295" t="s">
        <v>196</v>
      </c>
      <c r="L607" s="309">
        <v>1016.0</v>
      </c>
      <c r="M607" s="309">
        <v>914.4</v>
      </c>
    </row>
    <row r="608" ht="15.0" customHeight="1">
      <c r="A608" s="264">
        <v>45901.0</v>
      </c>
      <c r="B608" s="317">
        <v>45919.0</v>
      </c>
      <c r="C608" s="318" t="s">
        <v>928</v>
      </c>
      <c r="D608" s="319" t="s">
        <v>861</v>
      </c>
      <c r="E608" s="317">
        <v>45919.0</v>
      </c>
      <c r="F608" s="319" t="s">
        <v>929</v>
      </c>
      <c r="G608" s="272" t="s">
        <v>197</v>
      </c>
      <c r="H608" s="319" t="s">
        <v>930</v>
      </c>
      <c r="I608" s="320">
        <v>3917.0</v>
      </c>
      <c r="J608" s="319">
        <v>1.0</v>
      </c>
      <c r="K608" s="319" t="s">
        <v>931</v>
      </c>
      <c r="L608" s="321">
        <v>24607.0</v>
      </c>
      <c r="M608" s="321">
        <v>24607.0</v>
      </c>
    </row>
    <row r="609" ht="15.0" customHeight="1">
      <c r="A609" s="264">
        <v>45901.0</v>
      </c>
      <c r="B609" s="317">
        <v>45919.0</v>
      </c>
      <c r="C609" s="322" t="s">
        <v>932</v>
      </c>
      <c r="D609" s="319" t="s">
        <v>212</v>
      </c>
      <c r="E609" s="317">
        <v>45919.0</v>
      </c>
      <c r="F609" s="319" t="s">
        <v>933</v>
      </c>
      <c r="G609" s="272" t="s">
        <v>197</v>
      </c>
      <c r="H609" s="319" t="s">
        <v>934</v>
      </c>
      <c r="I609" s="320"/>
      <c r="J609" s="319">
        <v>1.0</v>
      </c>
      <c r="K609" s="319" t="s">
        <v>931</v>
      </c>
      <c r="L609" s="321">
        <v>8500.0</v>
      </c>
      <c r="M609" s="321">
        <v>8500.0</v>
      </c>
    </row>
    <row r="610" ht="15.0" customHeight="1">
      <c r="A610" s="264">
        <v>45901.0</v>
      </c>
      <c r="B610" s="319"/>
      <c r="C610" s="319"/>
      <c r="D610" s="319"/>
      <c r="E610" s="319"/>
      <c r="F610" s="319"/>
      <c r="G610" s="272" t="s">
        <v>197</v>
      </c>
      <c r="H610" s="319" t="s">
        <v>198</v>
      </c>
      <c r="I610" s="320">
        <v>9968.0</v>
      </c>
      <c r="J610" s="319">
        <v>1.0</v>
      </c>
      <c r="K610" s="319" t="s">
        <v>931</v>
      </c>
      <c r="L610" s="321">
        <v>150.0</v>
      </c>
      <c r="M610" s="321">
        <v>150.0</v>
      </c>
    </row>
    <row r="611" ht="15.0" customHeight="1">
      <c r="A611" s="264">
        <v>45901.0</v>
      </c>
      <c r="B611" s="317">
        <v>45919.0</v>
      </c>
      <c r="C611" s="319" t="s">
        <v>220</v>
      </c>
      <c r="D611" s="319" t="s">
        <v>221</v>
      </c>
      <c r="E611" s="317">
        <v>45919.0</v>
      </c>
      <c r="F611" s="319" t="s">
        <v>935</v>
      </c>
      <c r="G611" s="272" t="s">
        <v>197</v>
      </c>
      <c r="H611" s="319" t="s">
        <v>329</v>
      </c>
      <c r="I611" s="320">
        <v>8477.0</v>
      </c>
      <c r="J611" s="319">
        <v>4.0</v>
      </c>
      <c r="K611" s="319" t="s">
        <v>931</v>
      </c>
      <c r="L611" s="321">
        <v>75.0</v>
      </c>
      <c r="M611" s="321">
        <v>300.0</v>
      </c>
    </row>
    <row r="612" ht="15.0" customHeight="1">
      <c r="A612" s="264">
        <v>45901.0</v>
      </c>
      <c r="B612" s="319"/>
      <c r="C612" s="319"/>
      <c r="D612" s="319"/>
      <c r="E612" s="319"/>
      <c r="F612" s="319"/>
      <c r="G612" s="272" t="s">
        <v>197</v>
      </c>
      <c r="H612" s="319" t="s">
        <v>198</v>
      </c>
      <c r="I612" s="320">
        <v>9968.0</v>
      </c>
      <c r="J612" s="319">
        <v>1.0</v>
      </c>
      <c r="K612" s="319" t="s">
        <v>931</v>
      </c>
      <c r="L612" s="321">
        <v>100.0</v>
      </c>
      <c r="M612" s="321">
        <v>100.0</v>
      </c>
    </row>
    <row r="613" ht="15.0" customHeight="1">
      <c r="A613" s="264">
        <v>45901.0</v>
      </c>
      <c r="B613" s="317">
        <v>45919.0</v>
      </c>
      <c r="C613" s="322" t="s">
        <v>899</v>
      </c>
      <c r="D613" s="319" t="s">
        <v>900</v>
      </c>
      <c r="E613" s="317">
        <v>45919.0</v>
      </c>
      <c r="F613" s="319" t="s">
        <v>936</v>
      </c>
      <c r="G613" s="272" t="s">
        <v>197</v>
      </c>
      <c r="H613" s="319" t="s">
        <v>612</v>
      </c>
      <c r="I613" s="320">
        <v>8477.0</v>
      </c>
      <c r="J613" s="319">
        <v>1.0</v>
      </c>
      <c r="K613" s="319" t="s">
        <v>931</v>
      </c>
      <c r="L613" s="321">
        <v>700.0</v>
      </c>
      <c r="M613" s="321">
        <v>700.0</v>
      </c>
    </row>
    <row r="614" ht="15.0" customHeight="1">
      <c r="A614" s="264">
        <v>45901.0</v>
      </c>
      <c r="B614" s="301">
        <v>45919.0</v>
      </c>
      <c r="C614" s="295" t="s">
        <v>937</v>
      </c>
      <c r="D614" s="295"/>
      <c r="E614" s="301">
        <v>45919.0</v>
      </c>
      <c r="F614" s="295" t="s">
        <v>938</v>
      </c>
      <c r="G614" s="295" t="s">
        <v>303</v>
      </c>
      <c r="H614" s="295" t="s">
        <v>304</v>
      </c>
      <c r="I614" s="308">
        <v>3506.0</v>
      </c>
      <c r="J614" s="295">
        <v>1.0</v>
      </c>
      <c r="K614" s="295" t="s">
        <v>931</v>
      </c>
      <c r="L614" s="309">
        <v>1016.1</v>
      </c>
      <c r="M614" s="309">
        <v>914.49</v>
      </c>
    </row>
    <row r="615" ht="15.0" customHeight="1">
      <c r="A615" s="264">
        <v>45901.0</v>
      </c>
      <c r="B615" s="301">
        <v>45919.0</v>
      </c>
      <c r="C615" s="295" t="s">
        <v>939</v>
      </c>
      <c r="D615" s="295"/>
      <c r="E615" s="301">
        <v>45919.0</v>
      </c>
      <c r="F615" s="295" t="s">
        <v>940</v>
      </c>
      <c r="G615" s="295" t="s">
        <v>303</v>
      </c>
      <c r="H615" s="295" t="s">
        <v>304</v>
      </c>
      <c r="I615" s="308">
        <v>3506.0</v>
      </c>
      <c r="J615" s="295">
        <v>1.0</v>
      </c>
      <c r="K615" s="295" t="s">
        <v>931</v>
      </c>
      <c r="L615" s="309">
        <v>1016.1</v>
      </c>
      <c r="M615" s="309">
        <v>914.49</v>
      </c>
    </row>
    <row r="616" ht="15.0" customHeight="1">
      <c r="A616" s="264">
        <v>45901.0</v>
      </c>
      <c r="B616" s="301">
        <v>45919.0</v>
      </c>
      <c r="C616" s="295" t="s">
        <v>941</v>
      </c>
      <c r="D616" s="295"/>
      <c r="E616" s="301">
        <v>45919.0</v>
      </c>
      <c r="F616" s="295" t="s">
        <v>942</v>
      </c>
      <c r="G616" s="295" t="s">
        <v>303</v>
      </c>
      <c r="H616" s="295" t="s">
        <v>304</v>
      </c>
      <c r="I616" s="308">
        <v>3506.0</v>
      </c>
      <c r="J616" s="295">
        <v>1.0</v>
      </c>
      <c r="K616" s="295" t="s">
        <v>931</v>
      </c>
      <c r="L616" s="309">
        <v>1016.1</v>
      </c>
      <c r="M616" s="309">
        <v>1016.1</v>
      </c>
    </row>
    <row r="617" ht="15.0" customHeight="1">
      <c r="A617" s="264">
        <v>45901.0</v>
      </c>
      <c r="B617" s="301">
        <v>45917.0</v>
      </c>
      <c r="C617" s="295" t="s">
        <v>943</v>
      </c>
      <c r="D617" s="295" t="s">
        <v>944</v>
      </c>
      <c r="E617" s="301">
        <v>45917.0</v>
      </c>
      <c r="F617" s="295" t="s">
        <v>945</v>
      </c>
      <c r="G617" s="295" t="s">
        <v>303</v>
      </c>
      <c r="H617" s="295" t="s">
        <v>304</v>
      </c>
      <c r="I617" s="308">
        <v>3506.0</v>
      </c>
      <c r="J617" s="295">
        <v>1.0</v>
      </c>
      <c r="K617" s="295" t="s">
        <v>931</v>
      </c>
      <c r="L617" s="309">
        <v>1016.1</v>
      </c>
      <c r="M617" s="309">
        <v>1016.1</v>
      </c>
    </row>
    <row r="618" ht="15.0" customHeight="1">
      <c r="A618" s="264">
        <v>45901.0</v>
      </c>
      <c r="B618" s="323">
        <v>45916.0</v>
      </c>
      <c r="C618" s="324" t="s">
        <v>233</v>
      </c>
      <c r="D618" s="324" t="s">
        <v>234</v>
      </c>
      <c r="E618" s="323">
        <v>45916.0</v>
      </c>
      <c r="F618" s="325" t="s">
        <v>946</v>
      </c>
      <c r="G618" s="302" t="s">
        <v>214</v>
      </c>
      <c r="H618" s="326" t="s">
        <v>410</v>
      </c>
      <c r="I618" s="327">
        <v>9989.0</v>
      </c>
      <c r="J618" s="326">
        <v>1.0</v>
      </c>
      <c r="K618" s="326" t="s">
        <v>931</v>
      </c>
      <c r="L618" s="328">
        <v>15280.0</v>
      </c>
      <c r="M618" s="328">
        <v>15280.0</v>
      </c>
    </row>
    <row r="619" ht="15.0" customHeight="1">
      <c r="A619" s="264">
        <v>45901.0</v>
      </c>
      <c r="B619" s="324"/>
      <c r="C619" s="324"/>
      <c r="D619" s="324"/>
      <c r="E619" s="324"/>
      <c r="F619" s="324"/>
      <c r="G619" s="302" t="s">
        <v>214</v>
      </c>
      <c r="H619" s="326" t="s">
        <v>410</v>
      </c>
      <c r="I619" s="327">
        <v>9989.0</v>
      </c>
      <c r="J619" s="326">
        <v>1.0</v>
      </c>
      <c r="K619" s="326" t="s">
        <v>931</v>
      </c>
      <c r="L619" s="328">
        <v>10385.0</v>
      </c>
      <c r="M619" s="328">
        <v>10385.0</v>
      </c>
    </row>
    <row r="620" ht="15.0" customHeight="1">
      <c r="A620" s="264">
        <v>45901.0</v>
      </c>
      <c r="B620" s="301">
        <v>45916.0</v>
      </c>
      <c r="C620" s="295" t="s">
        <v>947</v>
      </c>
      <c r="D620" s="295"/>
      <c r="E620" s="301">
        <v>45916.0</v>
      </c>
      <c r="F620" s="295" t="s">
        <v>948</v>
      </c>
      <c r="G620" s="295" t="s">
        <v>303</v>
      </c>
      <c r="H620" s="295" t="s">
        <v>304</v>
      </c>
      <c r="I620" s="308">
        <v>3506.0</v>
      </c>
      <c r="J620" s="295">
        <v>1.0</v>
      </c>
      <c r="K620" s="295" t="s">
        <v>931</v>
      </c>
      <c r="L620" s="309">
        <v>1016.1</v>
      </c>
      <c r="M620" s="309">
        <v>914.49</v>
      </c>
    </row>
    <row r="621" ht="15.0" customHeight="1">
      <c r="A621" s="264">
        <v>45901.0</v>
      </c>
      <c r="B621" s="301">
        <v>45916.0</v>
      </c>
      <c r="C621" s="295" t="s">
        <v>949</v>
      </c>
      <c r="D621" s="295"/>
      <c r="E621" s="301">
        <v>45916.0</v>
      </c>
      <c r="F621" s="295" t="s">
        <v>950</v>
      </c>
      <c r="G621" s="295" t="s">
        <v>303</v>
      </c>
      <c r="H621" s="295" t="s">
        <v>304</v>
      </c>
      <c r="I621" s="308">
        <v>3506.0</v>
      </c>
      <c r="J621" s="295">
        <v>1.0</v>
      </c>
      <c r="K621" s="295" t="s">
        <v>931</v>
      </c>
      <c r="L621" s="309">
        <v>1016.1</v>
      </c>
      <c r="M621" s="309">
        <v>1016.1</v>
      </c>
    </row>
    <row r="622" ht="15.0" customHeight="1">
      <c r="A622" s="264">
        <v>45901.0</v>
      </c>
      <c r="B622" s="329">
        <v>45915.0</v>
      </c>
      <c r="C622" s="330" t="s">
        <v>951</v>
      </c>
      <c r="D622" s="330"/>
      <c r="E622" s="329">
        <v>45915.0</v>
      </c>
      <c r="F622" s="330" t="s">
        <v>952</v>
      </c>
      <c r="G622" s="284" t="s">
        <v>242</v>
      </c>
      <c r="H622" s="330" t="s">
        <v>953</v>
      </c>
      <c r="I622" s="331">
        <v>8477.0</v>
      </c>
      <c r="J622" s="330">
        <v>1.0</v>
      </c>
      <c r="K622" s="330" t="s">
        <v>931</v>
      </c>
      <c r="L622" s="332">
        <v>84000.0</v>
      </c>
      <c r="M622" s="332">
        <v>84000.0</v>
      </c>
      <c r="N622" s="333"/>
      <c r="O622" s="333"/>
      <c r="P622" s="333"/>
      <c r="Q622" s="333"/>
      <c r="R622" s="333"/>
      <c r="S622" s="333"/>
      <c r="T622" s="333"/>
      <c r="U622" s="333"/>
      <c r="V622" s="333"/>
      <c r="W622" s="333"/>
      <c r="X622" s="333"/>
      <c r="Y622" s="333"/>
      <c r="Z622" s="333"/>
    </row>
    <row r="623" ht="15.0" customHeight="1">
      <c r="A623" s="264">
        <v>45901.0</v>
      </c>
      <c r="B623" s="334"/>
      <c r="C623" s="334"/>
      <c r="D623" s="334"/>
      <c r="E623" s="334"/>
      <c r="F623" s="334"/>
      <c r="G623" s="266" t="s">
        <v>193</v>
      </c>
      <c r="H623" s="334" t="s">
        <v>248</v>
      </c>
      <c r="I623" s="335">
        <v>8443.0</v>
      </c>
      <c r="J623" s="334">
        <v>2.0</v>
      </c>
      <c r="K623" s="334" t="s">
        <v>931</v>
      </c>
      <c r="L623" s="336">
        <v>1400.0</v>
      </c>
      <c r="M623" s="336">
        <v>0.0</v>
      </c>
    </row>
    <row r="624" ht="15.0" customHeight="1">
      <c r="A624" s="264">
        <v>45901.0</v>
      </c>
      <c r="B624" s="337">
        <v>45915.0</v>
      </c>
      <c r="C624" s="334" t="s">
        <v>951</v>
      </c>
      <c r="D624" s="334"/>
      <c r="E624" s="337">
        <v>45915.0</v>
      </c>
      <c r="F624" s="334" t="s">
        <v>954</v>
      </c>
      <c r="G624" s="266" t="s">
        <v>193</v>
      </c>
      <c r="H624" s="334" t="s">
        <v>813</v>
      </c>
      <c r="I624" s="335">
        <v>8.443329E7</v>
      </c>
      <c r="J624" s="334">
        <v>2.0</v>
      </c>
      <c r="K624" s="334" t="s">
        <v>931</v>
      </c>
      <c r="L624" s="336">
        <v>4500.0</v>
      </c>
      <c r="M624" s="336">
        <v>4500.0</v>
      </c>
    </row>
    <row r="625" ht="15.0" customHeight="1">
      <c r="A625" s="264">
        <v>45901.0</v>
      </c>
      <c r="B625" s="319"/>
      <c r="C625" s="319"/>
      <c r="D625" s="319"/>
      <c r="E625" s="319"/>
      <c r="F625" s="319"/>
      <c r="G625" s="272" t="s">
        <v>197</v>
      </c>
      <c r="H625" s="322" t="s">
        <v>955</v>
      </c>
      <c r="I625" s="320">
        <v>8477.0</v>
      </c>
      <c r="J625" s="319">
        <v>1.0</v>
      </c>
      <c r="K625" s="319" t="s">
        <v>931</v>
      </c>
      <c r="L625" s="321">
        <v>6500.0</v>
      </c>
      <c r="M625" s="321">
        <v>6500.0</v>
      </c>
    </row>
    <row r="626" ht="15.0" customHeight="1">
      <c r="A626" s="264">
        <v>45901.0</v>
      </c>
      <c r="B626" s="319"/>
      <c r="C626" s="319"/>
      <c r="D626" s="319"/>
      <c r="E626" s="319"/>
      <c r="F626" s="319"/>
      <c r="G626" s="272" t="s">
        <v>197</v>
      </c>
      <c r="H626" s="319" t="s">
        <v>283</v>
      </c>
      <c r="I626" s="320">
        <v>9987.0</v>
      </c>
      <c r="J626" s="319">
        <v>1.0</v>
      </c>
      <c r="K626" s="319" t="s">
        <v>931</v>
      </c>
      <c r="L626" s="321">
        <v>13500.0</v>
      </c>
      <c r="M626" s="321">
        <v>13500.0</v>
      </c>
    </row>
    <row r="627" ht="15.0" customHeight="1">
      <c r="A627" s="264">
        <v>45901.0</v>
      </c>
      <c r="B627" s="338"/>
      <c r="C627" s="338"/>
      <c r="D627" s="338"/>
      <c r="E627" s="338"/>
      <c r="F627" s="338"/>
      <c r="G627" s="284" t="s">
        <v>242</v>
      </c>
      <c r="H627" s="338" t="s">
        <v>198</v>
      </c>
      <c r="I627" s="339">
        <v>9968.0</v>
      </c>
      <c r="J627" s="338">
        <v>1.0</v>
      </c>
      <c r="K627" s="338" t="s">
        <v>931</v>
      </c>
      <c r="L627" s="340">
        <v>3000.0</v>
      </c>
      <c r="M627" s="340">
        <v>3000.0</v>
      </c>
    </row>
    <row r="628" ht="15.0" customHeight="1">
      <c r="A628" s="264">
        <v>45901.0</v>
      </c>
      <c r="B628" s="337">
        <v>45927.0</v>
      </c>
      <c r="C628" s="341" t="s">
        <v>288</v>
      </c>
      <c r="D628" s="334" t="s">
        <v>289</v>
      </c>
      <c r="E628" s="337">
        <v>45927.0</v>
      </c>
      <c r="F628" s="334" t="s">
        <v>956</v>
      </c>
      <c r="G628" s="266" t="s">
        <v>193</v>
      </c>
      <c r="H628" s="266" t="s">
        <v>291</v>
      </c>
      <c r="I628" s="335">
        <v>8477.0</v>
      </c>
      <c r="J628" s="335">
        <v>4.0</v>
      </c>
      <c r="K628" s="335" t="s">
        <v>931</v>
      </c>
      <c r="L628" s="321">
        <v>54499.6</v>
      </c>
      <c r="M628" s="336">
        <v>217998.4</v>
      </c>
    </row>
    <row r="629" ht="15.0" customHeight="1">
      <c r="A629" s="264">
        <v>45901.0</v>
      </c>
      <c r="B629" s="334"/>
      <c r="C629" s="334"/>
      <c r="D629" s="334"/>
      <c r="E629" s="337"/>
      <c r="F629" s="334"/>
      <c r="G629" s="266" t="s">
        <v>193</v>
      </c>
      <c r="H629" s="266" t="s">
        <v>957</v>
      </c>
      <c r="I629" s="335">
        <v>3917.0</v>
      </c>
      <c r="J629" s="335">
        <v>8.0</v>
      </c>
      <c r="K629" s="335" t="s">
        <v>931</v>
      </c>
      <c r="L629" s="321">
        <v>17390.0</v>
      </c>
      <c r="M629" s="336">
        <v>139120.0</v>
      </c>
    </row>
    <row r="630" ht="15.0" customHeight="1">
      <c r="A630" s="264">
        <v>45901.0</v>
      </c>
      <c r="B630" s="334"/>
      <c r="C630" s="334"/>
      <c r="D630" s="334"/>
      <c r="E630" s="337"/>
      <c r="F630" s="334"/>
      <c r="G630" s="266" t="s">
        <v>193</v>
      </c>
      <c r="H630" s="266" t="s">
        <v>198</v>
      </c>
      <c r="I630" s="335">
        <v>9968.0</v>
      </c>
      <c r="J630" s="335">
        <v>1.0</v>
      </c>
      <c r="K630" s="335" t="s">
        <v>931</v>
      </c>
      <c r="L630" s="321">
        <v>2000.0</v>
      </c>
      <c r="M630" s="336">
        <v>2000.0</v>
      </c>
    </row>
    <row r="631" ht="15.0" customHeight="1">
      <c r="A631" s="264">
        <v>45901.0</v>
      </c>
      <c r="B631" s="301">
        <v>45927.0</v>
      </c>
      <c r="C631" s="295" t="s">
        <v>958</v>
      </c>
      <c r="D631" s="295"/>
      <c r="E631" s="301">
        <v>45927.0</v>
      </c>
      <c r="F631" s="295" t="s">
        <v>959</v>
      </c>
      <c r="G631" s="295" t="s">
        <v>303</v>
      </c>
      <c r="H631" s="295" t="s">
        <v>304</v>
      </c>
      <c r="I631" s="308">
        <v>3506.0</v>
      </c>
      <c r="J631" s="308">
        <v>1.0</v>
      </c>
      <c r="K631" s="295" t="s">
        <v>931</v>
      </c>
      <c r="L631" s="309">
        <v>1016.1</v>
      </c>
      <c r="M631" s="309">
        <v>914.49</v>
      </c>
    </row>
    <row r="632" ht="15.0" customHeight="1">
      <c r="A632" s="264">
        <v>45901.0</v>
      </c>
      <c r="B632" s="305">
        <v>45924.0</v>
      </c>
      <c r="C632" s="284" t="s">
        <v>233</v>
      </c>
      <c r="D632" s="284" t="s">
        <v>234</v>
      </c>
      <c r="E632" s="305">
        <v>45924.0</v>
      </c>
      <c r="F632" s="284" t="s">
        <v>960</v>
      </c>
      <c r="G632" s="284" t="s">
        <v>242</v>
      </c>
      <c r="H632" s="284" t="s">
        <v>878</v>
      </c>
      <c r="I632" s="284"/>
      <c r="J632" s="284">
        <v>1.0</v>
      </c>
      <c r="K632" s="284" t="s">
        <v>931</v>
      </c>
      <c r="L632" s="284">
        <v>72000.0</v>
      </c>
      <c r="M632" s="284">
        <v>72000.0</v>
      </c>
    </row>
    <row r="633" ht="15.0" customHeight="1">
      <c r="A633" s="264">
        <v>45901.0</v>
      </c>
      <c r="B633" s="334"/>
      <c r="C633" s="334"/>
      <c r="D633" s="334"/>
      <c r="E633" s="334"/>
      <c r="F633" s="334"/>
      <c r="G633" s="266" t="s">
        <v>193</v>
      </c>
      <c r="H633" s="334" t="s">
        <v>194</v>
      </c>
      <c r="I633" s="335">
        <v>8.44311E7</v>
      </c>
      <c r="J633" s="334">
        <v>1.0</v>
      </c>
      <c r="K633" s="334" t="s">
        <v>931</v>
      </c>
      <c r="L633" s="336">
        <v>1400.0</v>
      </c>
      <c r="M633" s="336">
        <v>0.0</v>
      </c>
    </row>
    <row r="634" ht="15.0" customHeight="1">
      <c r="A634" s="264">
        <v>45901.0</v>
      </c>
      <c r="B634" s="284"/>
      <c r="C634" s="284"/>
      <c r="D634" s="284"/>
      <c r="E634" s="284"/>
      <c r="F634" s="284"/>
      <c r="G634" s="284" t="s">
        <v>242</v>
      </c>
      <c r="H634" s="284" t="s">
        <v>198</v>
      </c>
      <c r="I634" s="284">
        <v>9968.0</v>
      </c>
      <c r="J634" s="284">
        <v>1.0</v>
      </c>
      <c r="K634" s="284" t="s">
        <v>931</v>
      </c>
      <c r="L634" s="284">
        <v>1000.0</v>
      </c>
      <c r="M634" s="284">
        <v>1000.0</v>
      </c>
    </row>
    <row r="635" ht="15.0" customHeight="1">
      <c r="A635" s="264">
        <v>45901.0</v>
      </c>
      <c r="B635" s="301">
        <v>45924.0</v>
      </c>
      <c r="C635" s="295" t="s">
        <v>508</v>
      </c>
      <c r="D635" s="295"/>
      <c r="E635" s="301">
        <v>45924.0</v>
      </c>
      <c r="F635" s="295" t="s">
        <v>961</v>
      </c>
      <c r="G635" s="295" t="s">
        <v>303</v>
      </c>
      <c r="H635" s="295" t="s">
        <v>304</v>
      </c>
      <c r="I635" s="308">
        <v>3506.0</v>
      </c>
      <c r="J635" s="308">
        <v>2.0</v>
      </c>
      <c r="K635" s="295" t="s">
        <v>931</v>
      </c>
      <c r="L635" s="309">
        <v>1016.1</v>
      </c>
      <c r="M635" s="309">
        <v>2032.2</v>
      </c>
    </row>
    <row r="636" ht="15.0" customHeight="1">
      <c r="A636" s="264">
        <v>45901.0</v>
      </c>
      <c r="B636" s="301">
        <v>45924.0</v>
      </c>
      <c r="C636" s="295" t="s">
        <v>962</v>
      </c>
      <c r="D636" s="295"/>
      <c r="E636" s="301">
        <v>45924.0</v>
      </c>
      <c r="F636" s="295" t="s">
        <v>963</v>
      </c>
      <c r="G636" s="295" t="s">
        <v>303</v>
      </c>
      <c r="H636" s="295" t="s">
        <v>304</v>
      </c>
      <c r="I636" s="308">
        <v>3506.0</v>
      </c>
      <c r="J636" s="308">
        <v>1.0</v>
      </c>
      <c r="K636" s="295" t="s">
        <v>931</v>
      </c>
      <c r="L636" s="309">
        <v>1016.1</v>
      </c>
      <c r="M636" s="309">
        <v>1016.1</v>
      </c>
    </row>
    <row r="637" ht="15.0" customHeight="1">
      <c r="A637" s="264">
        <v>45901.0</v>
      </c>
      <c r="B637" s="323">
        <v>45923.0</v>
      </c>
      <c r="C637" s="324" t="s">
        <v>964</v>
      </c>
      <c r="D637" s="324" t="s">
        <v>965</v>
      </c>
      <c r="E637" s="323">
        <v>45923.0</v>
      </c>
      <c r="F637" s="324" t="s">
        <v>966</v>
      </c>
      <c r="G637" s="302" t="s">
        <v>214</v>
      </c>
      <c r="H637" s="326" t="s">
        <v>410</v>
      </c>
      <c r="I637" s="327">
        <v>3926.0</v>
      </c>
      <c r="J637" s="327">
        <v>1.0</v>
      </c>
      <c r="K637" s="327" t="s">
        <v>931</v>
      </c>
      <c r="L637" s="327">
        <v>540.0</v>
      </c>
      <c r="M637" s="327">
        <v>540.0</v>
      </c>
    </row>
    <row r="638" ht="15.0" customHeight="1">
      <c r="A638" s="264">
        <v>45901.0</v>
      </c>
      <c r="B638" s="324"/>
      <c r="C638" s="324"/>
      <c r="D638" s="324"/>
      <c r="E638" s="324"/>
      <c r="F638" s="324"/>
      <c r="G638" s="302" t="s">
        <v>214</v>
      </c>
      <c r="H638" s="326" t="s">
        <v>410</v>
      </c>
      <c r="I638" s="327">
        <v>3926.0</v>
      </c>
      <c r="J638" s="327">
        <v>1.0</v>
      </c>
      <c r="K638" s="327" t="s">
        <v>931</v>
      </c>
      <c r="L638" s="327">
        <v>580.0</v>
      </c>
      <c r="M638" s="327">
        <v>580.0</v>
      </c>
    </row>
    <row r="639" ht="15.0" customHeight="1">
      <c r="A639" s="264">
        <v>45901.0</v>
      </c>
      <c r="B639" s="301">
        <v>45923.0</v>
      </c>
      <c r="C639" s="295" t="s">
        <v>967</v>
      </c>
      <c r="D639" s="295"/>
      <c r="E639" s="301">
        <v>45923.0</v>
      </c>
      <c r="F639" s="295" t="s">
        <v>968</v>
      </c>
      <c r="G639" s="295" t="s">
        <v>303</v>
      </c>
      <c r="H639" s="295" t="s">
        <v>304</v>
      </c>
      <c r="I639" s="308">
        <v>3506.0</v>
      </c>
      <c r="J639" s="308">
        <v>1.0</v>
      </c>
      <c r="K639" s="295" t="s">
        <v>931</v>
      </c>
      <c r="L639" s="309">
        <v>1016.1</v>
      </c>
      <c r="M639" s="309">
        <v>1016.1</v>
      </c>
    </row>
    <row r="640" ht="15.0" customHeight="1">
      <c r="A640" s="264">
        <v>45901.0</v>
      </c>
      <c r="B640" s="301">
        <v>45923.0</v>
      </c>
      <c r="C640" s="295" t="s">
        <v>969</v>
      </c>
      <c r="D640" s="295"/>
      <c r="E640" s="301">
        <v>45923.0</v>
      </c>
      <c r="F640" s="295" t="s">
        <v>970</v>
      </c>
      <c r="G640" s="295" t="s">
        <v>303</v>
      </c>
      <c r="H640" s="295" t="s">
        <v>304</v>
      </c>
      <c r="I640" s="308">
        <v>3506.0</v>
      </c>
      <c r="J640" s="308">
        <v>1.0</v>
      </c>
      <c r="K640" s="295" t="s">
        <v>931</v>
      </c>
      <c r="L640" s="309">
        <v>1016.1</v>
      </c>
      <c r="M640" s="309">
        <v>914.49</v>
      </c>
    </row>
    <row r="641" ht="15.0" customHeight="1">
      <c r="A641" s="264">
        <v>45901.0</v>
      </c>
      <c r="B641" s="301">
        <v>45923.0</v>
      </c>
      <c r="C641" s="295" t="s">
        <v>971</v>
      </c>
      <c r="D641" s="295"/>
      <c r="E641" s="301">
        <v>45923.0</v>
      </c>
      <c r="F641" s="295" t="s">
        <v>972</v>
      </c>
      <c r="G641" s="295" t="s">
        <v>303</v>
      </c>
      <c r="H641" s="295" t="s">
        <v>304</v>
      </c>
      <c r="I641" s="308">
        <v>3506.0</v>
      </c>
      <c r="J641" s="308">
        <v>1.0</v>
      </c>
      <c r="K641" s="295" t="s">
        <v>931</v>
      </c>
      <c r="L641" s="309">
        <v>1016.1</v>
      </c>
      <c r="M641" s="309">
        <v>914.49</v>
      </c>
    </row>
    <row r="642" ht="15.0" customHeight="1">
      <c r="A642" s="264">
        <v>45901.0</v>
      </c>
      <c r="B642" s="301">
        <v>45923.0</v>
      </c>
      <c r="C642" s="295" t="s">
        <v>838</v>
      </c>
      <c r="D642" s="295" t="s">
        <v>839</v>
      </c>
      <c r="E642" s="301">
        <v>45923.0</v>
      </c>
      <c r="F642" s="295" t="s">
        <v>973</v>
      </c>
      <c r="G642" s="295" t="s">
        <v>303</v>
      </c>
      <c r="H642" s="295" t="s">
        <v>304</v>
      </c>
      <c r="I642" s="308">
        <v>3506.0</v>
      </c>
      <c r="J642" s="308">
        <v>2.0</v>
      </c>
      <c r="K642" s="295" t="s">
        <v>931</v>
      </c>
      <c r="L642" s="309">
        <v>1016.1</v>
      </c>
      <c r="M642" s="309">
        <v>2032.2</v>
      </c>
    </row>
    <row r="643" ht="15.0" customHeight="1">
      <c r="A643" s="264">
        <v>45901.0</v>
      </c>
      <c r="B643" s="319">
        <v>45922.0</v>
      </c>
      <c r="C643" s="342" t="s">
        <v>757</v>
      </c>
      <c r="D643" s="319" t="s">
        <v>758</v>
      </c>
      <c r="E643" s="317">
        <v>45922.0</v>
      </c>
      <c r="F643" s="319" t="s">
        <v>974</v>
      </c>
      <c r="G643" s="272"/>
      <c r="H643" s="272" t="s">
        <v>975</v>
      </c>
      <c r="I643" s="320">
        <v>8477.0</v>
      </c>
      <c r="J643" s="320">
        <v>1.0</v>
      </c>
      <c r="K643" s="320" t="s">
        <v>931</v>
      </c>
      <c r="L643" s="321">
        <v>500.0</v>
      </c>
      <c r="M643" s="321">
        <v>500.0</v>
      </c>
    </row>
    <row r="644" ht="15.0" customHeight="1">
      <c r="B644" s="343"/>
      <c r="C644" s="343"/>
      <c r="D644" s="343"/>
      <c r="E644" s="343"/>
      <c r="F644" s="343"/>
      <c r="G644" s="343"/>
      <c r="H644" s="343" t="s">
        <v>198</v>
      </c>
      <c r="I644" s="343">
        <v>9968.0</v>
      </c>
      <c r="J644" s="343">
        <v>1.0</v>
      </c>
      <c r="K644" s="343" t="s">
        <v>931</v>
      </c>
      <c r="L644" s="343">
        <v>200.0</v>
      </c>
      <c r="M644" s="343">
        <v>0.0</v>
      </c>
    </row>
    <row r="645">
      <c r="B645" s="344"/>
      <c r="M645" s="167"/>
    </row>
    <row r="646">
      <c r="B646" s="344"/>
      <c r="M646" s="167"/>
    </row>
    <row r="647">
      <c r="B647" s="344"/>
      <c r="M647" s="167"/>
    </row>
    <row r="648">
      <c r="B648" s="344"/>
      <c r="M648" s="167"/>
    </row>
    <row r="649">
      <c r="B649" s="344"/>
      <c r="M649" s="167"/>
    </row>
    <row r="650">
      <c r="B650" s="344"/>
      <c r="M650" s="167"/>
    </row>
    <row r="651">
      <c r="B651" s="344"/>
      <c r="M651" s="167"/>
    </row>
    <row r="652">
      <c r="B652" s="344"/>
      <c r="M652" s="167"/>
    </row>
    <row r="653">
      <c r="B653" s="344"/>
      <c r="M653" s="167"/>
    </row>
    <row r="654">
      <c r="B654" s="344"/>
      <c r="M654" s="167"/>
    </row>
    <row r="655">
      <c r="B655" s="344"/>
      <c r="M655" s="167"/>
    </row>
    <row r="656">
      <c r="B656" s="344"/>
      <c r="M656" s="167"/>
    </row>
    <row r="657">
      <c r="B657" s="344"/>
      <c r="M657" s="167"/>
    </row>
    <row r="658">
      <c r="B658" s="344"/>
      <c r="M658" s="167"/>
    </row>
    <row r="659">
      <c r="B659" s="344"/>
      <c r="M659" s="167"/>
    </row>
    <row r="660">
      <c r="B660" s="344"/>
      <c r="M660" s="167"/>
    </row>
    <row r="661">
      <c r="B661" s="344"/>
      <c r="M661" s="167"/>
    </row>
    <row r="662">
      <c r="B662" s="344"/>
      <c r="M662" s="167"/>
    </row>
    <row r="663">
      <c r="B663" s="344"/>
      <c r="M663" s="167"/>
    </row>
    <row r="664">
      <c r="B664" s="344"/>
      <c r="M664" s="167"/>
    </row>
    <row r="665">
      <c r="B665" s="344"/>
      <c r="M665" s="167"/>
    </row>
    <row r="666">
      <c r="B666" s="344"/>
      <c r="M666" s="167"/>
    </row>
    <row r="667">
      <c r="B667" s="344"/>
      <c r="M667" s="167"/>
    </row>
    <row r="668">
      <c r="B668" s="344"/>
      <c r="M668" s="167"/>
    </row>
    <row r="669">
      <c r="B669" s="344"/>
      <c r="M669" s="167"/>
    </row>
    <row r="670">
      <c r="B670" s="344"/>
      <c r="M670" s="167"/>
    </row>
    <row r="671">
      <c r="B671" s="344"/>
      <c r="M671" s="167"/>
    </row>
    <row r="672">
      <c r="B672" s="344"/>
      <c r="M672" s="167"/>
    </row>
    <row r="673">
      <c r="B673" s="344"/>
      <c r="M673" s="167"/>
    </row>
    <row r="674">
      <c r="B674" s="344"/>
      <c r="M674" s="167"/>
    </row>
    <row r="675">
      <c r="B675" s="344"/>
      <c r="M675" s="167"/>
    </row>
    <row r="676">
      <c r="B676" s="344"/>
      <c r="M676" s="167"/>
    </row>
    <row r="677">
      <c r="B677" s="344"/>
      <c r="M677" s="167"/>
    </row>
    <row r="678">
      <c r="B678" s="344"/>
      <c r="M678" s="167"/>
    </row>
    <row r="679">
      <c r="B679" s="344"/>
      <c r="M679" s="167"/>
    </row>
    <row r="680">
      <c r="B680" s="344"/>
      <c r="M680" s="167"/>
    </row>
    <row r="681">
      <c r="B681" s="344"/>
      <c r="M681" s="167"/>
    </row>
    <row r="682">
      <c r="B682" s="344"/>
      <c r="M682" s="167"/>
    </row>
    <row r="683">
      <c r="B683" s="344"/>
      <c r="M683" s="167"/>
    </row>
    <row r="684">
      <c r="B684" s="344"/>
      <c r="M684" s="167"/>
    </row>
    <row r="685">
      <c r="B685" s="344"/>
      <c r="M685" s="167"/>
    </row>
    <row r="686">
      <c r="B686" s="344"/>
      <c r="M686" s="167"/>
    </row>
    <row r="687">
      <c r="B687" s="344"/>
      <c r="M687" s="167"/>
    </row>
    <row r="688">
      <c r="B688" s="344"/>
      <c r="M688" s="167"/>
    </row>
    <row r="689">
      <c r="B689" s="344"/>
      <c r="M689" s="167"/>
    </row>
    <row r="690">
      <c r="B690" s="344"/>
      <c r="M690" s="167"/>
    </row>
    <row r="691">
      <c r="B691" s="344"/>
      <c r="M691" s="167"/>
    </row>
    <row r="692">
      <c r="B692" s="344"/>
      <c r="M692" s="167"/>
    </row>
    <row r="693">
      <c r="B693" s="344"/>
      <c r="M693" s="167"/>
    </row>
    <row r="694">
      <c r="B694" s="344"/>
      <c r="M694" s="167"/>
    </row>
    <row r="695">
      <c r="B695" s="344"/>
      <c r="M695" s="167"/>
    </row>
    <row r="696">
      <c r="B696" s="344"/>
      <c r="M696" s="167"/>
    </row>
    <row r="697">
      <c r="B697" s="344"/>
      <c r="M697" s="167"/>
    </row>
    <row r="698">
      <c r="B698" s="344"/>
      <c r="M698" s="167"/>
    </row>
    <row r="699">
      <c r="B699" s="344"/>
      <c r="M699" s="167"/>
    </row>
    <row r="700">
      <c r="B700" s="344"/>
      <c r="M700" s="167"/>
    </row>
    <row r="701">
      <c r="B701" s="344"/>
      <c r="M701" s="167"/>
    </row>
    <row r="702">
      <c r="B702" s="344"/>
      <c r="M702" s="167"/>
    </row>
    <row r="703">
      <c r="B703" s="344"/>
      <c r="M703" s="167"/>
    </row>
    <row r="704">
      <c r="B704" s="344"/>
      <c r="M704" s="167"/>
    </row>
    <row r="705">
      <c r="B705" s="344"/>
      <c r="M705" s="167"/>
    </row>
    <row r="706">
      <c r="B706" s="344"/>
      <c r="M706" s="167"/>
    </row>
    <row r="707">
      <c r="B707" s="344"/>
      <c r="M707" s="167"/>
    </row>
    <row r="708">
      <c r="B708" s="344"/>
      <c r="M708" s="167"/>
    </row>
    <row r="709">
      <c r="B709" s="344"/>
      <c r="M709" s="167"/>
    </row>
    <row r="710">
      <c r="B710" s="344"/>
      <c r="M710" s="167"/>
    </row>
    <row r="711">
      <c r="B711" s="344"/>
      <c r="M711" s="167"/>
    </row>
    <row r="712">
      <c r="B712" s="344"/>
      <c r="M712" s="167"/>
    </row>
    <row r="713">
      <c r="B713" s="344"/>
      <c r="M713" s="167"/>
    </row>
    <row r="714">
      <c r="B714" s="344"/>
      <c r="M714" s="167"/>
    </row>
    <row r="715">
      <c r="B715" s="344"/>
      <c r="M715" s="167"/>
    </row>
    <row r="716">
      <c r="B716" s="344"/>
      <c r="M716" s="167"/>
    </row>
    <row r="717">
      <c r="B717" s="344"/>
      <c r="M717" s="167"/>
    </row>
    <row r="718">
      <c r="B718" s="344"/>
      <c r="M718" s="167"/>
    </row>
    <row r="719">
      <c r="B719" s="344"/>
      <c r="M719" s="167"/>
    </row>
    <row r="720">
      <c r="B720" s="344"/>
      <c r="M720" s="167"/>
    </row>
    <row r="721">
      <c r="B721" s="344"/>
      <c r="M721" s="167"/>
    </row>
    <row r="722">
      <c r="B722" s="344"/>
      <c r="M722" s="167"/>
    </row>
    <row r="723">
      <c r="B723" s="344"/>
      <c r="M723" s="167"/>
    </row>
    <row r="724">
      <c r="B724" s="344"/>
      <c r="M724" s="167"/>
    </row>
    <row r="725">
      <c r="B725" s="344"/>
      <c r="M725" s="167"/>
    </row>
    <row r="726">
      <c r="B726" s="344"/>
      <c r="M726" s="167"/>
    </row>
    <row r="727">
      <c r="B727" s="344"/>
      <c r="M727" s="167"/>
    </row>
    <row r="728">
      <c r="B728" s="344"/>
      <c r="M728" s="167"/>
    </row>
    <row r="729">
      <c r="B729" s="344"/>
      <c r="M729" s="167"/>
    </row>
    <row r="730">
      <c r="B730" s="344"/>
      <c r="M730" s="167"/>
    </row>
    <row r="731">
      <c r="B731" s="344"/>
      <c r="M731" s="167"/>
    </row>
    <row r="732">
      <c r="B732" s="344"/>
      <c r="M732" s="167"/>
    </row>
    <row r="733">
      <c r="B733" s="344"/>
      <c r="M733" s="167"/>
    </row>
    <row r="734">
      <c r="B734" s="344"/>
      <c r="M734" s="167"/>
    </row>
    <row r="735">
      <c r="B735" s="344"/>
      <c r="M735" s="167"/>
    </row>
    <row r="736">
      <c r="B736" s="344"/>
      <c r="M736" s="167"/>
    </row>
    <row r="737">
      <c r="B737" s="344"/>
      <c r="M737" s="167"/>
    </row>
    <row r="738">
      <c r="B738" s="344"/>
      <c r="M738" s="167"/>
    </row>
    <row r="739">
      <c r="B739" s="344"/>
      <c r="M739" s="167"/>
    </row>
    <row r="740">
      <c r="B740" s="344"/>
      <c r="M740" s="167"/>
    </row>
    <row r="741">
      <c r="B741" s="344"/>
      <c r="M741" s="167"/>
    </row>
    <row r="742">
      <c r="B742" s="344"/>
      <c r="M742" s="167"/>
    </row>
    <row r="743">
      <c r="B743" s="344"/>
      <c r="M743" s="167"/>
    </row>
    <row r="744">
      <c r="B744" s="344"/>
      <c r="M744" s="167"/>
    </row>
    <row r="745">
      <c r="B745" s="344"/>
      <c r="M745" s="167"/>
    </row>
    <row r="746">
      <c r="B746" s="344"/>
      <c r="M746" s="167"/>
    </row>
    <row r="747">
      <c r="B747" s="344"/>
      <c r="M747" s="167"/>
    </row>
    <row r="748">
      <c r="B748" s="344"/>
      <c r="M748" s="167"/>
    </row>
    <row r="749">
      <c r="B749" s="344"/>
      <c r="M749" s="167"/>
    </row>
    <row r="750">
      <c r="B750" s="344"/>
      <c r="M750" s="167"/>
    </row>
    <row r="751">
      <c r="B751" s="344"/>
      <c r="M751" s="167"/>
    </row>
    <row r="752">
      <c r="B752" s="344"/>
      <c r="M752" s="167"/>
    </row>
    <row r="753">
      <c r="B753" s="344"/>
      <c r="M753" s="167"/>
    </row>
    <row r="754">
      <c r="B754" s="344"/>
      <c r="M754" s="167"/>
    </row>
    <row r="755">
      <c r="B755" s="344"/>
      <c r="M755" s="167"/>
    </row>
    <row r="756">
      <c r="B756" s="344"/>
      <c r="M756" s="167"/>
    </row>
    <row r="757">
      <c r="B757" s="344"/>
      <c r="M757" s="167"/>
    </row>
    <row r="758">
      <c r="B758" s="344"/>
      <c r="M758" s="167"/>
    </row>
    <row r="759">
      <c r="B759" s="344"/>
      <c r="M759" s="167"/>
    </row>
    <row r="760">
      <c r="B760" s="344"/>
      <c r="M760" s="167"/>
    </row>
    <row r="761">
      <c r="B761" s="344"/>
      <c r="M761" s="167"/>
    </row>
    <row r="762">
      <c r="B762" s="344"/>
      <c r="M762" s="167"/>
    </row>
    <row r="763">
      <c r="B763" s="344"/>
      <c r="M763" s="167"/>
    </row>
    <row r="764">
      <c r="B764" s="344"/>
      <c r="M764" s="167"/>
    </row>
    <row r="765">
      <c r="B765" s="344"/>
      <c r="M765" s="167"/>
    </row>
    <row r="766">
      <c r="B766" s="344"/>
      <c r="M766" s="167"/>
    </row>
    <row r="767">
      <c r="B767" s="344"/>
      <c r="M767" s="167"/>
    </row>
    <row r="768">
      <c r="B768" s="344"/>
      <c r="M768" s="167"/>
    </row>
    <row r="769">
      <c r="B769" s="344"/>
      <c r="M769" s="167"/>
    </row>
    <row r="770">
      <c r="B770" s="344"/>
      <c r="M770" s="167"/>
    </row>
    <row r="771">
      <c r="B771" s="344"/>
      <c r="M771" s="167"/>
    </row>
    <row r="772">
      <c r="B772" s="344"/>
      <c r="M772" s="167"/>
    </row>
    <row r="773">
      <c r="B773" s="344"/>
      <c r="M773" s="167"/>
    </row>
    <row r="774">
      <c r="B774" s="344"/>
      <c r="M774" s="167"/>
    </row>
    <row r="775">
      <c r="B775" s="344"/>
      <c r="M775" s="167"/>
    </row>
    <row r="776">
      <c r="B776" s="344"/>
      <c r="M776" s="167"/>
    </row>
    <row r="777">
      <c r="B777" s="344"/>
      <c r="M777" s="167"/>
    </row>
    <row r="778">
      <c r="B778" s="344"/>
      <c r="M778" s="167"/>
    </row>
    <row r="779">
      <c r="B779" s="344"/>
      <c r="M779" s="167"/>
    </row>
    <row r="780">
      <c r="B780" s="344"/>
      <c r="M780" s="167"/>
    </row>
    <row r="781">
      <c r="B781" s="344"/>
      <c r="M781" s="167"/>
    </row>
    <row r="782">
      <c r="B782" s="344"/>
      <c r="M782" s="167"/>
    </row>
    <row r="783">
      <c r="B783" s="344"/>
      <c r="M783" s="167"/>
    </row>
    <row r="784">
      <c r="B784" s="344"/>
      <c r="M784" s="167"/>
    </row>
    <row r="785">
      <c r="B785" s="344"/>
      <c r="M785" s="167"/>
    </row>
    <row r="786">
      <c r="B786" s="344"/>
      <c r="M786" s="167"/>
    </row>
    <row r="787">
      <c r="B787" s="344"/>
      <c r="M787" s="167"/>
    </row>
    <row r="788">
      <c r="B788" s="344"/>
      <c r="M788" s="167"/>
    </row>
    <row r="789">
      <c r="B789" s="344"/>
      <c r="M789" s="167"/>
    </row>
    <row r="790">
      <c r="B790" s="344"/>
      <c r="M790" s="167"/>
    </row>
    <row r="791">
      <c r="B791" s="344"/>
      <c r="M791" s="167"/>
    </row>
    <row r="792">
      <c r="B792" s="344"/>
      <c r="M792" s="167"/>
    </row>
    <row r="793">
      <c r="B793" s="344"/>
      <c r="M793" s="167"/>
    </row>
    <row r="794">
      <c r="B794" s="344"/>
      <c r="M794" s="167"/>
    </row>
    <row r="795">
      <c r="B795" s="344"/>
      <c r="M795" s="167"/>
    </row>
    <row r="796">
      <c r="B796" s="344"/>
      <c r="M796" s="167"/>
    </row>
    <row r="797">
      <c r="B797" s="344"/>
      <c r="M797" s="167"/>
    </row>
    <row r="798">
      <c r="B798" s="344"/>
      <c r="M798" s="167"/>
    </row>
    <row r="799">
      <c r="B799" s="344"/>
      <c r="M799" s="167"/>
    </row>
    <row r="800">
      <c r="B800" s="344"/>
      <c r="M800" s="167"/>
    </row>
    <row r="801">
      <c r="B801" s="344"/>
      <c r="M801" s="167"/>
    </row>
    <row r="802">
      <c r="B802" s="344"/>
      <c r="M802" s="167"/>
    </row>
    <row r="803">
      <c r="B803" s="344"/>
      <c r="M803" s="167"/>
    </row>
    <row r="804">
      <c r="B804" s="344"/>
      <c r="M804" s="167"/>
    </row>
    <row r="805">
      <c r="B805" s="344"/>
      <c r="M805" s="167"/>
    </row>
    <row r="806">
      <c r="B806" s="344"/>
      <c r="M806" s="167"/>
    </row>
    <row r="807">
      <c r="B807" s="344"/>
      <c r="M807" s="167"/>
    </row>
    <row r="808">
      <c r="B808" s="344"/>
      <c r="M808" s="167"/>
    </row>
    <row r="809">
      <c r="B809" s="344"/>
      <c r="M809" s="167"/>
    </row>
    <row r="810">
      <c r="B810" s="344"/>
      <c r="M810" s="167"/>
    </row>
    <row r="811">
      <c r="B811" s="344"/>
      <c r="M811" s="167"/>
    </row>
    <row r="812">
      <c r="B812" s="344"/>
      <c r="M812" s="167"/>
    </row>
    <row r="813">
      <c r="B813" s="344"/>
      <c r="M813" s="167"/>
    </row>
    <row r="814">
      <c r="B814" s="344"/>
      <c r="M814" s="167"/>
    </row>
    <row r="815">
      <c r="B815" s="344"/>
      <c r="M815" s="167"/>
    </row>
    <row r="816">
      <c r="B816" s="344"/>
      <c r="M816" s="167"/>
    </row>
    <row r="817">
      <c r="B817" s="344"/>
      <c r="M817" s="167"/>
    </row>
    <row r="818">
      <c r="B818" s="344"/>
      <c r="M818" s="167"/>
    </row>
    <row r="819">
      <c r="B819" s="344"/>
      <c r="M819" s="167"/>
    </row>
    <row r="820">
      <c r="B820" s="344"/>
      <c r="M820" s="167"/>
    </row>
    <row r="821">
      <c r="B821" s="344"/>
      <c r="M821" s="167"/>
    </row>
    <row r="822">
      <c r="B822" s="344"/>
      <c r="M822" s="167"/>
    </row>
    <row r="823">
      <c r="B823" s="344"/>
      <c r="M823" s="167"/>
    </row>
    <row r="824">
      <c r="B824" s="344"/>
      <c r="M824" s="167"/>
    </row>
    <row r="825">
      <c r="B825" s="344"/>
      <c r="M825" s="167"/>
    </row>
    <row r="826">
      <c r="B826" s="344"/>
      <c r="M826" s="167"/>
    </row>
    <row r="827">
      <c r="B827" s="344"/>
      <c r="M827" s="167"/>
    </row>
    <row r="828">
      <c r="B828" s="344"/>
      <c r="M828" s="167"/>
    </row>
    <row r="829">
      <c r="B829" s="344"/>
      <c r="M829" s="167"/>
    </row>
    <row r="830">
      <c r="B830" s="344"/>
      <c r="M830" s="167"/>
    </row>
    <row r="831">
      <c r="B831" s="344"/>
      <c r="M831" s="167"/>
    </row>
    <row r="832">
      <c r="B832" s="344"/>
      <c r="M832" s="167"/>
    </row>
    <row r="833">
      <c r="B833" s="344"/>
      <c r="M833" s="167"/>
    </row>
    <row r="834">
      <c r="B834" s="344"/>
      <c r="M834" s="167"/>
    </row>
    <row r="835">
      <c r="B835" s="344"/>
      <c r="M835" s="167"/>
    </row>
    <row r="836">
      <c r="B836" s="344"/>
      <c r="M836" s="167"/>
    </row>
    <row r="837">
      <c r="B837" s="344"/>
      <c r="M837" s="167"/>
    </row>
    <row r="838">
      <c r="B838" s="344"/>
      <c r="M838" s="167"/>
    </row>
    <row r="839">
      <c r="B839" s="344"/>
      <c r="M839" s="167"/>
    </row>
    <row r="840">
      <c r="B840" s="344"/>
      <c r="M840" s="167"/>
    </row>
    <row r="841">
      <c r="B841" s="344"/>
      <c r="M841" s="167"/>
    </row>
    <row r="842">
      <c r="B842" s="344"/>
      <c r="M842" s="167"/>
    </row>
    <row r="843">
      <c r="B843" s="344"/>
      <c r="M843" s="167"/>
    </row>
    <row r="844">
      <c r="B844" s="344"/>
      <c r="M844" s="167"/>
    </row>
    <row r="845">
      <c r="B845" s="344"/>
      <c r="M845" s="167"/>
    </row>
    <row r="846">
      <c r="B846" s="344"/>
      <c r="M846" s="167"/>
    </row>
    <row r="847">
      <c r="B847" s="344"/>
      <c r="M847" s="167"/>
    </row>
    <row r="848">
      <c r="B848" s="344"/>
      <c r="M848" s="167"/>
    </row>
    <row r="849">
      <c r="B849" s="344"/>
      <c r="M849" s="167"/>
    </row>
    <row r="850">
      <c r="B850" s="344"/>
      <c r="M850" s="167"/>
    </row>
    <row r="851">
      <c r="B851" s="344"/>
      <c r="M851" s="167"/>
    </row>
    <row r="852">
      <c r="B852" s="344"/>
      <c r="M852" s="167"/>
    </row>
    <row r="853">
      <c r="B853" s="344"/>
      <c r="M853" s="167"/>
    </row>
    <row r="854">
      <c r="B854" s="344"/>
      <c r="M854" s="167"/>
    </row>
    <row r="855">
      <c r="B855" s="344"/>
      <c r="M855" s="167"/>
    </row>
    <row r="856">
      <c r="B856" s="344"/>
      <c r="M856" s="167"/>
    </row>
    <row r="857">
      <c r="B857" s="344"/>
      <c r="M857" s="167"/>
    </row>
    <row r="858">
      <c r="B858" s="344"/>
      <c r="M858" s="167"/>
    </row>
    <row r="859">
      <c r="B859" s="344"/>
      <c r="M859" s="167"/>
    </row>
    <row r="860">
      <c r="B860" s="344"/>
      <c r="M860" s="167"/>
    </row>
    <row r="861">
      <c r="B861" s="344"/>
      <c r="M861" s="167"/>
    </row>
    <row r="862">
      <c r="B862" s="344"/>
      <c r="M862" s="167"/>
    </row>
    <row r="863">
      <c r="B863" s="344"/>
      <c r="M863" s="167"/>
    </row>
    <row r="864">
      <c r="B864" s="344"/>
      <c r="M864" s="167"/>
    </row>
    <row r="865">
      <c r="B865" s="344"/>
      <c r="M865" s="167"/>
    </row>
    <row r="866">
      <c r="B866" s="344"/>
      <c r="M866" s="167"/>
    </row>
    <row r="867">
      <c r="B867" s="344"/>
      <c r="M867" s="167"/>
    </row>
    <row r="868">
      <c r="B868" s="344"/>
      <c r="M868" s="167"/>
    </row>
    <row r="869">
      <c r="B869" s="344"/>
      <c r="M869" s="167"/>
    </row>
    <row r="870">
      <c r="B870" s="344"/>
      <c r="M870" s="167"/>
    </row>
    <row r="871">
      <c r="B871" s="344"/>
      <c r="M871" s="167"/>
    </row>
    <row r="872">
      <c r="B872" s="344"/>
      <c r="M872" s="167"/>
    </row>
    <row r="873">
      <c r="B873" s="344"/>
      <c r="M873" s="167"/>
    </row>
    <row r="874">
      <c r="B874" s="344"/>
      <c r="M874" s="167"/>
    </row>
    <row r="875">
      <c r="B875" s="344"/>
      <c r="M875" s="167"/>
    </row>
    <row r="876">
      <c r="B876" s="344"/>
      <c r="M876" s="167"/>
    </row>
    <row r="877">
      <c r="B877" s="344"/>
      <c r="M877" s="167"/>
    </row>
    <row r="878">
      <c r="B878" s="344"/>
      <c r="M878" s="167"/>
    </row>
    <row r="879">
      <c r="B879" s="344"/>
      <c r="M879" s="167"/>
    </row>
    <row r="880">
      <c r="B880" s="344"/>
      <c r="M880" s="167"/>
    </row>
    <row r="881">
      <c r="B881" s="344"/>
      <c r="M881" s="167"/>
    </row>
    <row r="882">
      <c r="B882" s="344"/>
      <c r="M882" s="167"/>
    </row>
    <row r="883">
      <c r="B883" s="344"/>
      <c r="M883" s="167"/>
    </row>
    <row r="884">
      <c r="B884" s="344"/>
      <c r="M884" s="167"/>
    </row>
    <row r="885">
      <c r="B885" s="344"/>
      <c r="M885" s="167"/>
    </row>
    <row r="886">
      <c r="B886" s="344"/>
      <c r="M886" s="167"/>
    </row>
    <row r="887">
      <c r="B887" s="344"/>
      <c r="M887" s="167"/>
    </row>
    <row r="888">
      <c r="B888" s="344"/>
      <c r="M888" s="167"/>
    </row>
    <row r="889">
      <c r="B889" s="344"/>
      <c r="M889" s="167"/>
    </row>
    <row r="890">
      <c r="B890" s="344"/>
      <c r="M890" s="167"/>
    </row>
    <row r="891">
      <c r="B891" s="344"/>
      <c r="M891" s="167"/>
    </row>
    <row r="892">
      <c r="B892" s="344"/>
      <c r="M892" s="167"/>
    </row>
    <row r="893">
      <c r="B893" s="344"/>
      <c r="M893" s="167"/>
    </row>
    <row r="894">
      <c r="B894" s="344"/>
      <c r="M894" s="167"/>
    </row>
    <row r="895">
      <c r="B895" s="344"/>
      <c r="M895" s="167"/>
    </row>
    <row r="896">
      <c r="B896" s="344"/>
      <c r="M896" s="167"/>
    </row>
    <row r="897">
      <c r="B897" s="344"/>
      <c r="M897" s="167"/>
    </row>
    <row r="898">
      <c r="B898" s="344"/>
      <c r="M898" s="167"/>
    </row>
    <row r="899">
      <c r="B899" s="344"/>
      <c r="M899" s="167"/>
    </row>
    <row r="900">
      <c r="B900" s="344"/>
      <c r="M900" s="167"/>
    </row>
    <row r="901">
      <c r="B901" s="344"/>
      <c r="M901" s="167"/>
    </row>
    <row r="902">
      <c r="B902" s="344"/>
      <c r="M902" s="167"/>
    </row>
    <row r="903">
      <c r="B903" s="344"/>
      <c r="M903" s="167"/>
    </row>
    <row r="904">
      <c r="B904" s="344"/>
      <c r="M904" s="167"/>
    </row>
    <row r="905">
      <c r="B905" s="344"/>
      <c r="M905" s="167"/>
    </row>
    <row r="906">
      <c r="B906" s="344"/>
      <c r="M906" s="167"/>
    </row>
    <row r="907">
      <c r="B907" s="344"/>
      <c r="M907" s="167"/>
    </row>
    <row r="908">
      <c r="B908" s="344"/>
      <c r="M908" s="167"/>
    </row>
    <row r="909">
      <c r="B909" s="344"/>
      <c r="M909" s="167"/>
    </row>
    <row r="910">
      <c r="B910" s="344"/>
      <c r="M910" s="167"/>
    </row>
    <row r="911">
      <c r="B911" s="344"/>
      <c r="M911" s="167"/>
    </row>
    <row r="912">
      <c r="B912" s="344"/>
      <c r="M912" s="167"/>
    </row>
    <row r="913">
      <c r="B913" s="344"/>
      <c r="M913" s="167"/>
    </row>
    <row r="914">
      <c r="B914" s="344"/>
      <c r="M914" s="167"/>
    </row>
    <row r="915">
      <c r="B915" s="344"/>
      <c r="M915" s="167"/>
    </row>
    <row r="916">
      <c r="B916" s="344"/>
      <c r="M916" s="167"/>
    </row>
    <row r="917">
      <c r="B917" s="344"/>
      <c r="M917" s="167"/>
    </row>
    <row r="918">
      <c r="B918" s="344"/>
      <c r="M918" s="167"/>
    </row>
    <row r="919">
      <c r="B919" s="344"/>
      <c r="M919" s="167"/>
    </row>
    <row r="920">
      <c r="B920" s="344"/>
      <c r="M920" s="167"/>
    </row>
    <row r="921">
      <c r="B921" s="344"/>
      <c r="M921" s="167"/>
    </row>
    <row r="922">
      <c r="B922" s="344"/>
      <c r="M922" s="167"/>
    </row>
    <row r="923">
      <c r="B923" s="344"/>
      <c r="M923" s="167"/>
    </row>
    <row r="924">
      <c r="B924" s="344"/>
      <c r="M924" s="167"/>
    </row>
    <row r="925">
      <c r="B925" s="344"/>
      <c r="M925" s="167"/>
    </row>
    <row r="926">
      <c r="B926" s="344"/>
      <c r="M926" s="167"/>
    </row>
    <row r="927">
      <c r="B927" s="344"/>
      <c r="M927" s="167"/>
    </row>
    <row r="928">
      <c r="B928" s="344"/>
      <c r="M928" s="167"/>
    </row>
    <row r="929">
      <c r="B929" s="344"/>
      <c r="M929" s="167"/>
    </row>
    <row r="930">
      <c r="B930" s="344"/>
      <c r="M930" s="167"/>
    </row>
    <row r="931">
      <c r="B931" s="344"/>
      <c r="M931" s="167"/>
    </row>
    <row r="932">
      <c r="B932" s="344"/>
      <c r="M932" s="167"/>
    </row>
    <row r="933">
      <c r="B933" s="344"/>
      <c r="M933" s="167"/>
    </row>
    <row r="934">
      <c r="B934" s="344"/>
      <c r="M934" s="167"/>
    </row>
    <row r="935">
      <c r="B935" s="344"/>
      <c r="M935" s="167"/>
    </row>
    <row r="936">
      <c r="B936" s="344"/>
      <c r="M936" s="167"/>
    </row>
    <row r="937">
      <c r="B937" s="344"/>
      <c r="M937" s="167"/>
    </row>
    <row r="938">
      <c r="B938" s="344"/>
      <c r="M938" s="167"/>
    </row>
    <row r="939">
      <c r="B939" s="344"/>
      <c r="M939" s="167"/>
    </row>
    <row r="940">
      <c r="B940" s="344"/>
      <c r="M940" s="167"/>
    </row>
    <row r="941">
      <c r="B941" s="344"/>
      <c r="M941" s="167"/>
    </row>
    <row r="942">
      <c r="B942" s="344"/>
      <c r="M942" s="167"/>
    </row>
    <row r="943">
      <c r="B943" s="344"/>
      <c r="M943" s="167"/>
    </row>
    <row r="944">
      <c r="B944" s="344"/>
      <c r="M944" s="167"/>
    </row>
    <row r="945">
      <c r="B945" s="344"/>
      <c r="M945" s="167"/>
    </row>
    <row r="946">
      <c r="B946" s="344"/>
      <c r="M946" s="167"/>
    </row>
    <row r="947">
      <c r="B947" s="344"/>
      <c r="M947" s="167"/>
    </row>
    <row r="948">
      <c r="B948" s="344"/>
      <c r="M948" s="167"/>
    </row>
    <row r="949">
      <c r="B949" s="344"/>
      <c r="M949" s="167"/>
    </row>
    <row r="950">
      <c r="B950" s="344"/>
      <c r="M950" s="167"/>
    </row>
    <row r="951">
      <c r="B951" s="344"/>
      <c r="M951" s="167"/>
    </row>
    <row r="952">
      <c r="B952" s="344"/>
      <c r="M952" s="167"/>
    </row>
    <row r="953">
      <c r="B953" s="344"/>
      <c r="M953" s="167"/>
    </row>
    <row r="954">
      <c r="B954" s="344"/>
      <c r="M954" s="167"/>
    </row>
    <row r="955">
      <c r="B955" s="344"/>
      <c r="M955" s="167"/>
    </row>
    <row r="956">
      <c r="B956" s="344"/>
      <c r="M956" s="167"/>
    </row>
    <row r="957">
      <c r="B957" s="344"/>
      <c r="M957" s="167"/>
    </row>
    <row r="958">
      <c r="B958" s="344"/>
      <c r="M958" s="167"/>
    </row>
    <row r="959">
      <c r="B959" s="344"/>
      <c r="M959" s="167"/>
    </row>
    <row r="960">
      <c r="B960" s="344"/>
      <c r="M960" s="167"/>
    </row>
    <row r="961">
      <c r="B961" s="344"/>
      <c r="M961" s="167"/>
    </row>
    <row r="962">
      <c r="B962" s="344"/>
      <c r="M962" s="167"/>
    </row>
    <row r="963">
      <c r="B963" s="344"/>
      <c r="M963" s="167"/>
    </row>
    <row r="964">
      <c r="B964" s="344"/>
      <c r="M964" s="167"/>
    </row>
    <row r="965">
      <c r="B965" s="344"/>
      <c r="M965" s="167"/>
    </row>
    <row r="966">
      <c r="B966" s="344"/>
      <c r="M966" s="167"/>
    </row>
    <row r="967">
      <c r="B967" s="344"/>
      <c r="M967" s="167"/>
    </row>
    <row r="968">
      <c r="B968" s="344"/>
      <c r="M968" s="167"/>
    </row>
    <row r="969">
      <c r="B969" s="344"/>
      <c r="M969" s="167"/>
    </row>
    <row r="970">
      <c r="B970" s="344"/>
      <c r="M970" s="167"/>
    </row>
    <row r="971">
      <c r="B971" s="344"/>
      <c r="M971" s="167"/>
    </row>
    <row r="972">
      <c r="B972" s="344"/>
      <c r="M972" s="167"/>
    </row>
    <row r="973">
      <c r="B973" s="344"/>
      <c r="M973" s="167"/>
    </row>
    <row r="974">
      <c r="B974" s="344"/>
      <c r="M974" s="167"/>
    </row>
    <row r="975">
      <c r="B975" s="344"/>
      <c r="M975" s="167"/>
    </row>
    <row r="976">
      <c r="B976" s="344"/>
      <c r="M976" s="167"/>
    </row>
    <row r="977">
      <c r="B977" s="344"/>
      <c r="M977" s="167"/>
    </row>
    <row r="978">
      <c r="B978" s="344"/>
      <c r="M978" s="167"/>
    </row>
    <row r="979">
      <c r="B979" s="344"/>
      <c r="M979" s="167"/>
    </row>
    <row r="980">
      <c r="B980" s="344"/>
      <c r="M980" s="167"/>
    </row>
    <row r="981">
      <c r="B981" s="344"/>
      <c r="M981" s="167"/>
    </row>
    <row r="982">
      <c r="B982" s="344"/>
      <c r="M982" s="167"/>
    </row>
    <row r="983">
      <c r="B983" s="344"/>
      <c r="M983" s="167"/>
    </row>
    <row r="984">
      <c r="B984" s="344"/>
      <c r="M984" s="167"/>
    </row>
    <row r="985">
      <c r="B985" s="344"/>
      <c r="M985" s="167"/>
    </row>
    <row r="986">
      <c r="B986" s="344"/>
      <c r="M986" s="167"/>
    </row>
    <row r="987">
      <c r="B987" s="344"/>
      <c r="M987" s="167"/>
    </row>
    <row r="988">
      <c r="B988" s="344"/>
      <c r="M988" s="167"/>
    </row>
    <row r="989">
      <c r="B989" s="344"/>
      <c r="M989" s="167"/>
    </row>
    <row r="990">
      <c r="B990" s="344"/>
      <c r="M990" s="167"/>
    </row>
    <row r="991">
      <c r="B991" s="344"/>
      <c r="M991" s="167"/>
    </row>
    <row r="992">
      <c r="B992" s="344"/>
      <c r="M992" s="167"/>
    </row>
    <row r="993">
      <c r="B993" s="344"/>
      <c r="M993" s="167"/>
    </row>
    <row r="994">
      <c r="B994" s="344"/>
      <c r="M994" s="167"/>
    </row>
    <row r="995">
      <c r="B995" s="344"/>
      <c r="M995" s="167"/>
    </row>
    <row r="996">
      <c r="B996" s="344"/>
      <c r="M996" s="167"/>
    </row>
    <row r="997">
      <c r="B997" s="344"/>
      <c r="M997" s="167"/>
    </row>
    <row r="998">
      <c r="B998" s="344"/>
      <c r="M998" s="167"/>
    </row>
    <row r="999">
      <c r="B999" s="344"/>
      <c r="M999" s="167"/>
    </row>
    <row r="1000">
      <c r="B1000" s="344"/>
      <c r="M1000" s="167"/>
    </row>
  </sheetData>
  <autoFilter ref="$A$1:$N$644"/>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8.25"/>
    <col customWidth="1" min="2" max="2" width="13.13"/>
    <col customWidth="1" min="3" max="3" width="7.88"/>
    <col customWidth="1" min="4" max="5" width="37.13"/>
    <col customWidth="1" min="6" max="6" width="55.5"/>
    <col customWidth="1" min="7" max="7" width="20.25"/>
    <col customWidth="1" min="8" max="8" width="12.38"/>
    <col customWidth="1" min="9" max="9" width="15.88"/>
    <col customWidth="1" min="10" max="10" width="77.25"/>
    <col customWidth="1" min="11" max="11" width="15.63"/>
    <col customWidth="1" min="12" max="12" width="24.5"/>
    <col customWidth="1" min="13" max="13" width="40.25"/>
    <col customWidth="1" min="14" max="14" width="8.88"/>
    <col customWidth="1" min="15" max="15" width="8.13"/>
    <col customWidth="1" min="16" max="16" width="7.38"/>
    <col customWidth="1" min="17" max="17" width="10.0"/>
    <col customWidth="1" min="18" max="19" width="7.75"/>
    <col customWidth="1" min="20" max="20" width="17.13"/>
    <col customWidth="1" min="21" max="21" width="13.63"/>
    <col customWidth="1" min="22" max="22" width="60.63"/>
    <col customWidth="1" min="23" max="33" width="14.88"/>
  </cols>
  <sheetData>
    <row r="1" ht="14.25" customHeight="1">
      <c r="A1" s="345" t="s">
        <v>976</v>
      </c>
      <c r="B1" s="345" t="s">
        <v>977</v>
      </c>
      <c r="C1" s="345" t="s">
        <v>978</v>
      </c>
      <c r="D1" s="345" t="s">
        <v>979</v>
      </c>
      <c r="E1" s="345" t="s">
        <v>980</v>
      </c>
      <c r="F1" s="345" t="s">
        <v>981</v>
      </c>
      <c r="G1" s="345" t="s">
        <v>982</v>
      </c>
      <c r="H1" s="345" t="s">
        <v>983</v>
      </c>
      <c r="I1" s="346" t="s">
        <v>984</v>
      </c>
      <c r="J1" s="345" t="s">
        <v>985</v>
      </c>
      <c r="K1" s="345" t="s">
        <v>986</v>
      </c>
      <c r="L1" s="345" t="s">
        <v>987</v>
      </c>
      <c r="M1" s="345" t="s">
        <v>988</v>
      </c>
      <c r="N1" s="345" t="s">
        <v>989</v>
      </c>
      <c r="O1" s="345" t="s">
        <v>990</v>
      </c>
      <c r="P1" s="345" t="s">
        <v>991</v>
      </c>
      <c r="Q1" s="345" t="s">
        <v>992</v>
      </c>
      <c r="R1" s="345" t="s">
        <v>993</v>
      </c>
      <c r="S1" s="345" t="s">
        <v>994</v>
      </c>
      <c r="T1" s="345" t="s">
        <v>995</v>
      </c>
      <c r="U1" s="345" t="s">
        <v>996</v>
      </c>
      <c r="V1" s="345" t="s">
        <v>997</v>
      </c>
      <c r="W1" s="345"/>
      <c r="X1" s="345"/>
      <c r="Y1" s="345"/>
      <c r="Z1" s="345"/>
      <c r="AA1" s="345"/>
      <c r="AB1" s="345"/>
      <c r="AC1" s="345"/>
      <c r="AD1" s="345"/>
      <c r="AE1" s="345"/>
      <c r="AF1" s="345"/>
      <c r="AG1" s="345"/>
    </row>
    <row r="2" ht="14.25" customHeight="1">
      <c r="A2" s="19" t="s">
        <v>998</v>
      </c>
      <c r="B2" s="19" t="s">
        <v>999</v>
      </c>
      <c r="C2" s="19">
        <v>2400000.0</v>
      </c>
      <c r="D2" s="19" t="s">
        <v>1000</v>
      </c>
      <c r="E2" s="19" t="s">
        <v>1001</v>
      </c>
      <c r="G2" s="19" t="s">
        <v>1002</v>
      </c>
      <c r="H2" s="19">
        <v>50.0</v>
      </c>
      <c r="I2" s="19">
        <f>C2*H2%</f>
        <v>1200000</v>
      </c>
      <c r="J2" s="19" t="s">
        <v>1003</v>
      </c>
      <c r="K2" s="19" t="s">
        <v>1004</v>
      </c>
      <c r="L2" s="19" t="s">
        <v>1005</v>
      </c>
      <c r="M2" s="19" t="s">
        <v>1006</v>
      </c>
      <c r="N2" s="19">
        <v>1200000.0</v>
      </c>
      <c r="O2" s="19" t="s">
        <v>1007</v>
      </c>
      <c r="P2" s="19">
        <v>1.0</v>
      </c>
      <c r="Q2" s="19">
        <v>0.0</v>
      </c>
      <c r="R2" s="19">
        <v>452.0</v>
      </c>
      <c r="S2" s="19">
        <v>452.0</v>
      </c>
    </row>
    <row r="3" ht="14.25" customHeight="1">
      <c r="A3" s="19" t="s">
        <v>998</v>
      </c>
      <c r="B3" s="19" t="s">
        <v>1008</v>
      </c>
      <c r="D3" s="19" t="s">
        <v>1009</v>
      </c>
      <c r="E3" s="19" t="s">
        <v>243</v>
      </c>
      <c r="F3" s="19" t="s">
        <v>1010</v>
      </c>
      <c r="G3" s="19" t="s">
        <v>1011</v>
      </c>
      <c r="H3" s="19">
        <v>0.0</v>
      </c>
      <c r="M3" s="19" t="s">
        <v>1012</v>
      </c>
      <c r="O3" s="19" t="s">
        <v>1007</v>
      </c>
      <c r="P3" s="19">
        <v>1.0</v>
      </c>
    </row>
    <row r="4" ht="14.25" customHeight="1">
      <c r="A4" s="19" t="s">
        <v>998</v>
      </c>
      <c r="B4" s="19" t="s">
        <v>1008</v>
      </c>
      <c r="C4" s="19">
        <v>275000.0</v>
      </c>
      <c r="D4" s="19" t="s">
        <v>1013</v>
      </c>
      <c r="E4" s="19" t="s">
        <v>1014</v>
      </c>
      <c r="F4" s="19" t="s">
        <v>1015</v>
      </c>
      <c r="G4" s="19" t="s">
        <v>1016</v>
      </c>
      <c r="H4" s="19">
        <v>5.0</v>
      </c>
      <c r="K4" s="19" t="s">
        <v>1017</v>
      </c>
      <c r="M4" s="19" t="s">
        <v>1018</v>
      </c>
      <c r="N4" s="19">
        <v>13750.0</v>
      </c>
      <c r="O4" s="19" t="s">
        <v>1007</v>
      </c>
      <c r="P4" s="19">
        <v>1.0</v>
      </c>
      <c r="R4" s="19">
        <v>29.0</v>
      </c>
      <c r="S4" s="19">
        <v>29.0</v>
      </c>
      <c r="U4" s="19" t="s">
        <v>1019</v>
      </c>
    </row>
    <row r="5" ht="14.25" customHeight="1">
      <c r="A5" s="19" t="s">
        <v>998</v>
      </c>
      <c r="B5" s="19" t="s">
        <v>1008</v>
      </c>
      <c r="C5" s="19">
        <v>1450000.0</v>
      </c>
      <c r="D5" s="19" t="s">
        <v>1020</v>
      </c>
      <c r="E5" s="19" t="s">
        <v>243</v>
      </c>
      <c r="F5" s="19" t="s">
        <v>455</v>
      </c>
      <c r="G5" s="19" t="s">
        <v>1021</v>
      </c>
      <c r="H5" s="19">
        <v>100.0</v>
      </c>
      <c r="I5" s="19">
        <f t="shared" ref="I5:I7" si="1">C5*H5%</f>
        <v>1450000</v>
      </c>
      <c r="J5" s="19" t="s">
        <v>1022</v>
      </c>
      <c r="M5" s="19" t="s">
        <v>1023</v>
      </c>
      <c r="N5" s="19">
        <v>1450000.0</v>
      </c>
      <c r="O5" s="19" t="s">
        <v>1007</v>
      </c>
      <c r="P5" s="19">
        <v>1.0</v>
      </c>
      <c r="R5" s="19">
        <v>90.0</v>
      </c>
      <c r="S5" s="19">
        <v>90.0</v>
      </c>
      <c r="T5" s="19" t="s">
        <v>1024</v>
      </c>
      <c r="U5" s="19" t="s">
        <v>1019</v>
      </c>
      <c r="V5" s="19" t="s">
        <v>1025</v>
      </c>
    </row>
    <row r="6" ht="14.25" customHeight="1">
      <c r="A6" s="19" t="s">
        <v>998</v>
      </c>
      <c r="B6" s="19" t="s">
        <v>1008</v>
      </c>
      <c r="C6" s="19">
        <v>600000.0</v>
      </c>
      <c r="D6" s="19" t="s">
        <v>1026</v>
      </c>
      <c r="E6" s="19" t="s">
        <v>1014</v>
      </c>
      <c r="F6" s="19" t="s">
        <v>1027</v>
      </c>
      <c r="G6" s="19" t="s">
        <v>1002</v>
      </c>
      <c r="H6" s="19">
        <v>50.0</v>
      </c>
      <c r="I6" s="19">
        <f t="shared" si="1"/>
        <v>300000</v>
      </c>
      <c r="J6" s="19" t="s">
        <v>1028</v>
      </c>
      <c r="K6" s="19" t="s">
        <v>1017</v>
      </c>
      <c r="M6" s="19" t="s">
        <v>1029</v>
      </c>
      <c r="N6" s="19">
        <v>300000.0</v>
      </c>
      <c r="O6" s="19" t="s">
        <v>1007</v>
      </c>
      <c r="P6" s="19">
        <v>1.0</v>
      </c>
      <c r="U6" s="19" t="s">
        <v>1019</v>
      </c>
    </row>
    <row r="7" ht="14.25" customHeight="1">
      <c r="A7" s="19" t="s">
        <v>998</v>
      </c>
      <c r="B7" s="19" t="s">
        <v>1008</v>
      </c>
      <c r="C7" s="19">
        <v>800000.0</v>
      </c>
      <c r="D7" s="19" t="s">
        <v>1030</v>
      </c>
      <c r="E7" s="19" t="s">
        <v>1031</v>
      </c>
      <c r="F7" s="19" t="s">
        <v>1032</v>
      </c>
      <c r="G7" s="19" t="s">
        <v>1002</v>
      </c>
      <c r="H7" s="19">
        <v>50.0</v>
      </c>
      <c r="I7" s="19">
        <f t="shared" si="1"/>
        <v>400000</v>
      </c>
      <c r="J7" s="19" t="s">
        <v>1033</v>
      </c>
      <c r="K7" s="19" t="s">
        <v>1017</v>
      </c>
      <c r="M7" s="19" t="s">
        <v>1034</v>
      </c>
      <c r="N7" s="19">
        <v>400000.0</v>
      </c>
      <c r="O7" s="19" t="s">
        <v>1007</v>
      </c>
      <c r="P7" s="19">
        <v>1.0</v>
      </c>
      <c r="R7" s="19">
        <v>129.0</v>
      </c>
      <c r="S7" s="19">
        <v>129.0</v>
      </c>
      <c r="T7" s="19" t="s">
        <v>1035</v>
      </c>
      <c r="U7" s="19" t="s">
        <v>1019</v>
      </c>
      <c r="V7" s="19" t="s">
        <v>1036</v>
      </c>
    </row>
    <row r="8" ht="14.25" customHeight="1">
      <c r="A8" s="19" t="s">
        <v>998</v>
      </c>
      <c r="B8" s="19" t="s">
        <v>999</v>
      </c>
      <c r="C8" s="19">
        <v>300000.0</v>
      </c>
      <c r="D8" s="19" t="s">
        <v>657</v>
      </c>
      <c r="F8" s="19" t="s">
        <v>1037</v>
      </c>
      <c r="G8" s="19" t="s">
        <v>1038</v>
      </c>
      <c r="H8" s="19">
        <v>15.0</v>
      </c>
      <c r="J8" s="19" t="s">
        <v>1039</v>
      </c>
      <c r="K8" s="19" t="s">
        <v>1017</v>
      </c>
      <c r="M8" s="19" t="s">
        <v>1040</v>
      </c>
      <c r="N8" s="19">
        <v>45000.0</v>
      </c>
      <c r="O8" s="19" t="s">
        <v>1007</v>
      </c>
      <c r="P8" s="19">
        <v>1.0</v>
      </c>
      <c r="T8" s="19" t="s">
        <v>1035</v>
      </c>
      <c r="U8" s="19" t="s">
        <v>1019</v>
      </c>
    </row>
    <row r="9" ht="14.25" customHeight="1">
      <c r="A9" s="19" t="s">
        <v>998</v>
      </c>
      <c r="B9" s="19" t="s">
        <v>999</v>
      </c>
      <c r="C9" s="19">
        <v>390000.0</v>
      </c>
      <c r="D9" s="19" t="s">
        <v>1041</v>
      </c>
      <c r="F9" s="19" t="s">
        <v>1042</v>
      </c>
      <c r="G9" s="19" t="s">
        <v>1043</v>
      </c>
      <c r="H9" s="19">
        <v>0.0</v>
      </c>
      <c r="M9" s="19" t="s">
        <v>1044</v>
      </c>
      <c r="N9" s="19">
        <v>0.0</v>
      </c>
      <c r="O9" s="19" t="s">
        <v>1007</v>
      </c>
      <c r="P9" s="19">
        <v>1.0</v>
      </c>
      <c r="U9" s="19" t="s">
        <v>1019</v>
      </c>
    </row>
    <row r="10" ht="14.25" customHeight="1">
      <c r="A10" s="19" t="s">
        <v>998</v>
      </c>
      <c r="B10" s="19" t="s">
        <v>1008</v>
      </c>
      <c r="C10" s="19">
        <v>965000.0</v>
      </c>
      <c r="D10" s="19" t="s">
        <v>1045</v>
      </c>
      <c r="F10" s="19" t="s">
        <v>1046</v>
      </c>
      <c r="G10" s="19" t="s">
        <v>1038</v>
      </c>
      <c r="H10" s="19">
        <v>15.0</v>
      </c>
      <c r="J10" s="347" t="s">
        <v>1047</v>
      </c>
      <c r="M10" s="19" t="s">
        <v>1048</v>
      </c>
      <c r="N10" s="19">
        <v>144750.0</v>
      </c>
      <c r="O10" s="19" t="s">
        <v>1007</v>
      </c>
      <c r="P10" s="19">
        <v>1.0</v>
      </c>
      <c r="U10" s="19" t="s">
        <v>1019</v>
      </c>
      <c r="V10" s="19" t="s">
        <v>1036</v>
      </c>
    </row>
    <row r="11" ht="14.25" customHeight="1">
      <c r="A11" s="19" t="s">
        <v>998</v>
      </c>
      <c r="B11" s="19" t="s">
        <v>999</v>
      </c>
      <c r="C11" s="19">
        <v>680000.0</v>
      </c>
      <c r="D11" s="19" t="s">
        <v>1049</v>
      </c>
      <c r="F11" s="19" t="s">
        <v>1050</v>
      </c>
      <c r="G11" s="19" t="s">
        <v>1016</v>
      </c>
      <c r="H11" s="19">
        <v>5.0</v>
      </c>
      <c r="J11" s="19" t="s">
        <v>1051</v>
      </c>
      <c r="K11" s="19" t="s">
        <v>1052</v>
      </c>
      <c r="M11" s="19" t="s">
        <v>1053</v>
      </c>
      <c r="N11" s="19">
        <v>34000.0</v>
      </c>
      <c r="O11" s="19" t="s">
        <v>1007</v>
      </c>
      <c r="P11" s="19">
        <v>1.0</v>
      </c>
      <c r="T11" s="19" t="s">
        <v>1052</v>
      </c>
      <c r="U11" s="19" t="s">
        <v>1052</v>
      </c>
      <c r="V11" s="19" t="s">
        <v>1036</v>
      </c>
    </row>
    <row r="12" ht="14.25" customHeight="1">
      <c r="A12" s="19" t="s">
        <v>998</v>
      </c>
      <c r="B12" s="19" t="s">
        <v>999</v>
      </c>
      <c r="C12" s="19">
        <v>400000.0</v>
      </c>
      <c r="D12" s="19" t="s">
        <v>1054</v>
      </c>
      <c r="F12" s="19" t="s">
        <v>1055</v>
      </c>
      <c r="G12" s="19" t="s">
        <v>1056</v>
      </c>
      <c r="H12" s="19">
        <v>20.0</v>
      </c>
      <c r="J12" s="19" t="s">
        <v>1057</v>
      </c>
      <c r="K12" s="19" t="s">
        <v>1017</v>
      </c>
      <c r="M12" s="19" t="s">
        <v>1058</v>
      </c>
      <c r="N12" s="19">
        <v>80000.0</v>
      </c>
      <c r="O12" s="19" t="s">
        <v>1007</v>
      </c>
      <c r="P12" s="19">
        <v>1.0</v>
      </c>
      <c r="R12" s="19">
        <v>53.0</v>
      </c>
      <c r="S12" s="19">
        <v>53.0</v>
      </c>
      <c r="T12" s="19" t="s">
        <v>1059</v>
      </c>
      <c r="U12" s="19" t="s">
        <v>1019</v>
      </c>
      <c r="V12" s="19" t="s">
        <v>1036</v>
      </c>
    </row>
    <row r="13" ht="14.25" customHeight="1">
      <c r="A13" s="19" t="s">
        <v>998</v>
      </c>
      <c r="B13" s="19" t="s">
        <v>999</v>
      </c>
      <c r="C13" s="19">
        <v>1000000.0</v>
      </c>
      <c r="D13" s="19" t="s">
        <v>1060</v>
      </c>
      <c r="E13" s="19" t="s">
        <v>243</v>
      </c>
      <c r="F13" s="19" t="s">
        <v>1060</v>
      </c>
      <c r="G13" s="19" t="s">
        <v>1061</v>
      </c>
      <c r="H13" s="19">
        <v>80.0</v>
      </c>
      <c r="I13" s="19">
        <f t="shared" ref="I13:I14" si="2">C13*H13%</f>
        <v>800000</v>
      </c>
      <c r="K13" s="19" t="s">
        <v>1062</v>
      </c>
      <c r="M13" s="19" t="s">
        <v>1063</v>
      </c>
      <c r="N13" s="19">
        <v>800000.0</v>
      </c>
      <c r="O13" s="19" t="s">
        <v>1007</v>
      </c>
      <c r="P13" s="19">
        <v>1.0</v>
      </c>
      <c r="Q13" s="19">
        <v>77.0</v>
      </c>
      <c r="R13" s="19">
        <v>52.0</v>
      </c>
      <c r="S13" s="19">
        <v>129.0</v>
      </c>
      <c r="U13" s="19" t="s">
        <v>1019</v>
      </c>
      <c r="V13" s="19" t="s">
        <v>1064</v>
      </c>
    </row>
    <row r="14" ht="14.25" customHeight="1">
      <c r="A14" s="19" t="s">
        <v>998</v>
      </c>
      <c r="B14" s="19" t="s">
        <v>1008</v>
      </c>
      <c r="C14" s="19">
        <v>700000.0</v>
      </c>
      <c r="D14" s="19" t="s">
        <v>1065</v>
      </c>
      <c r="F14" s="19" t="s">
        <v>1066</v>
      </c>
      <c r="G14" s="19" t="s">
        <v>1067</v>
      </c>
      <c r="H14" s="19">
        <v>100.0</v>
      </c>
      <c r="I14" s="19">
        <f t="shared" si="2"/>
        <v>700000</v>
      </c>
      <c r="J14" s="19" t="s">
        <v>1068</v>
      </c>
      <c r="K14" s="19" t="s">
        <v>1017</v>
      </c>
      <c r="M14" s="19" t="s">
        <v>1069</v>
      </c>
      <c r="N14" s="19">
        <v>700000.0</v>
      </c>
      <c r="O14" s="19" t="s">
        <v>1007</v>
      </c>
      <c r="P14" s="19">
        <v>1.0</v>
      </c>
      <c r="U14" s="19" t="s">
        <v>1019</v>
      </c>
      <c r="V14" s="19" t="s">
        <v>1070</v>
      </c>
    </row>
    <row r="15" ht="14.25" customHeight="1">
      <c r="A15" s="19" t="s">
        <v>998</v>
      </c>
      <c r="B15" s="19" t="s">
        <v>1008</v>
      </c>
      <c r="C15" s="19">
        <v>400000.0</v>
      </c>
      <c r="D15" s="19" t="s">
        <v>1071</v>
      </c>
      <c r="F15" s="19" t="s">
        <v>1072</v>
      </c>
      <c r="G15" s="19" t="s">
        <v>1043</v>
      </c>
      <c r="H15" s="19">
        <v>0.0</v>
      </c>
      <c r="M15" s="19" t="s">
        <v>1073</v>
      </c>
      <c r="N15" s="19">
        <v>0.0</v>
      </c>
      <c r="O15" s="19" t="s">
        <v>1007</v>
      </c>
      <c r="P15" s="19">
        <v>1.0</v>
      </c>
      <c r="U15" s="19" t="s">
        <v>1052</v>
      </c>
      <c r="V15" s="19" t="s">
        <v>1036</v>
      </c>
    </row>
    <row r="16" ht="14.25" customHeight="1">
      <c r="A16" s="19" t="s">
        <v>998</v>
      </c>
      <c r="B16" s="19" t="s">
        <v>1008</v>
      </c>
      <c r="C16" s="19">
        <v>400000.0</v>
      </c>
      <c r="D16" s="19" t="s">
        <v>1074</v>
      </c>
      <c r="E16" s="19" t="s">
        <v>1075</v>
      </c>
      <c r="F16" s="19" t="s">
        <v>1066</v>
      </c>
      <c r="G16" s="19" t="s">
        <v>1021</v>
      </c>
      <c r="H16" s="19">
        <v>100.0</v>
      </c>
      <c r="I16" s="19">
        <f>C16*H16%</f>
        <v>400000</v>
      </c>
      <c r="M16" s="19" t="s">
        <v>1076</v>
      </c>
      <c r="N16" s="19">
        <v>400000.0</v>
      </c>
      <c r="O16" s="19" t="s">
        <v>1007</v>
      </c>
      <c r="P16" s="19">
        <v>1.0</v>
      </c>
      <c r="U16" s="19" t="s">
        <v>1019</v>
      </c>
      <c r="V16" s="19" t="s">
        <v>1036</v>
      </c>
    </row>
    <row r="17" ht="14.25" customHeight="1">
      <c r="A17" s="19" t="s">
        <v>998</v>
      </c>
      <c r="B17" s="19" t="s">
        <v>1008</v>
      </c>
      <c r="C17" s="19">
        <v>125000.0</v>
      </c>
      <c r="D17" s="19" t="s">
        <v>846</v>
      </c>
      <c r="F17" s="19" t="s">
        <v>1077</v>
      </c>
      <c r="G17" s="19" t="s">
        <v>1078</v>
      </c>
      <c r="H17" s="19">
        <v>0.0</v>
      </c>
      <c r="L17" s="19" t="s">
        <v>1079</v>
      </c>
      <c r="M17" s="19" t="s">
        <v>1080</v>
      </c>
      <c r="N17" s="19">
        <v>0.0</v>
      </c>
      <c r="O17" s="19" t="s">
        <v>1007</v>
      </c>
      <c r="P17" s="19">
        <v>1.0</v>
      </c>
      <c r="U17" s="19" t="s">
        <v>1019</v>
      </c>
      <c r="V17" s="19" t="s">
        <v>1036</v>
      </c>
    </row>
    <row r="18" ht="14.25" customHeight="1">
      <c r="A18" s="19" t="s">
        <v>998</v>
      </c>
      <c r="B18" s="19" t="s">
        <v>1008</v>
      </c>
      <c r="C18" s="19">
        <v>750000.0</v>
      </c>
      <c r="D18" s="19" t="s">
        <v>1081</v>
      </c>
      <c r="F18" s="19" t="s">
        <v>1082</v>
      </c>
      <c r="G18" s="19" t="s">
        <v>1016</v>
      </c>
      <c r="H18" s="19">
        <v>5.0</v>
      </c>
      <c r="M18" s="19" t="s">
        <v>1083</v>
      </c>
      <c r="N18" s="19">
        <v>37500.0</v>
      </c>
      <c r="O18" s="19" t="s">
        <v>1007</v>
      </c>
      <c r="P18" s="19">
        <v>1.0</v>
      </c>
      <c r="U18" s="19" t="s">
        <v>1019</v>
      </c>
      <c r="V18" s="19" t="s">
        <v>1036</v>
      </c>
    </row>
    <row r="19" ht="14.25" customHeight="1">
      <c r="A19" s="19" t="s">
        <v>998</v>
      </c>
      <c r="B19" s="19" t="s">
        <v>1008</v>
      </c>
      <c r="C19" s="19">
        <v>300000.0</v>
      </c>
      <c r="D19" s="19" t="s">
        <v>1084</v>
      </c>
      <c r="E19" s="19" t="s">
        <v>1085</v>
      </c>
      <c r="F19" s="19" t="s">
        <v>1084</v>
      </c>
      <c r="G19" s="19" t="s">
        <v>1067</v>
      </c>
      <c r="H19" s="19">
        <v>100.0</v>
      </c>
      <c r="I19" s="19">
        <f>C19*H19%</f>
        <v>300000</v>
      </c>
      <c r="K19" s="19" t="s">
        <v>1004</v>
      </c>
      <c r="M19" s="19" t="s">
        <v>1086</v>
      </c>
      <c r="N19" s="19">
        <v>300000.0</v>
      </c>
      <c r="O19" s="19" t="s">
        <v>1007</v>
      </c>
      <c r="P19" s="19">
        <v>1.0</v>
      </c>
      <c r="Q19" s="19">
        <v>1.0</v>
      </c>
      <c r="U19" s="19" t="s">
        <v>1019</v>
      </c>
      <c r="V19" s="19" t="s">
        <v>1036</v>
      </c>
    </row>
    <row r="20" ht="14.25" customHeight="1">
      <c r="A20" s="19" t="s">
        <v>998</v>
      </c>
      <c r="B20" s="19" t="s">
        <v>1008</v>
      </c>
      <c r="C20" s="19">
        <v>150000.0</v>
      </c>
      <c r="D20" s="19" t="s">
        <v>1087</v>
      </c>
      <c r="F20" s="19" t="s">
        <v>1088</v>
      </c>
      <c r="G20" s="19" t="s">
        <v>1016</v>
      </c>
      <c r="H20" s="19">
        <v>5.0</v>
      </c>
      <c r="M20" s="19" t="s">
        <v>1089</v>
      </c>
      <c r="N20" s="19">
        <v>7500.0</v>
      </c>
      <c r="O20" s="19" t="s">
        <v>1007</v>
      </c>
      <c r="P20" s="19">
        <v>1.0</v>
      </c>
      <c r="U20" s="19" t="s">
        <v>1019</v>
      </c>
      <c r="V20" s="19" t="s">
        <v>1036</v>
      </c>
    </row>
    <row r="21" ht="14.25" customHeight="1">
      <c r="A21" s="19" t="s">
        <v>998</v>
      </c>
      <c r="B21" s="19" t="s">
        <v>1008</v>
      </c>
      <c r="D21" s="19" t="s">
        <v>1090</v>
      </c>
      <c r="F21" s="19" t="s">
        <v>1091</v>
      </c>
      <c r="G21" s="19" t="s">
        <v>1016</v>
      </c>
      <c r="H21" s="19">
        <v>5.0</v>
      </c>
      <c r="L21" s="19" t="s">
        <v>1092</v>
      </c>
      <c r="M21" s="19" t="s">
        <v>1093</v>
      </c>
      <c r="O21" s="19" t="s">
        <v>1007</v>
      </c>
      <c r="P21" s="19">
        <v>1.0</v>
      </c>
      <c r="U21" s="19" t="s">
        <v>1019</v>
      </c>
      <c r="V21" s="19" t="s">
        <v>1036</v>
      </c>
    </row>
    <row r="22" ht="14.25" customHeight="1">
      <c r="A22" s="19" t="s">
        <v>998</v>
      </c>
      <c r="B22" s="19" t="s">
        <v>1008</v>
      </c>
      <c r="D22" s="19" t="s">
        <v>1094</v>
      </c>
      <c r="F22" s="19" t="s">
        <v>1094</v>
      </c>
      <c r="G22" s="19" t="s">
        <v>1078</v>
      </c>
      <c r="H22" s="19">
        <v>0.0</v>
      </c>
      <c r="K22" s="19" t="s">
        <v>1004</v>
      </c>
      <c r="M22" s="19" t="s">
        <v>1095</v>
      </c>
      <c r="O22" s="19" t="s">
        <v>1007</v>
      </c>
      <c r="P22" s="19">
        <v>1.0</v>
      </c>
      <c r="Q22" s="19">
        <v>1.0</v>
      </c>
      <c r="U22" s="19" t="s">
        <v>1019</v>
      </c>
      <c r="V22" s="19" t="s">
        <v>1036</v>
      </c>
    </row>
    <row r="23" ht="14.25" customHeight="1">
      <c r="A23" s="19" t="s">
        <v>998</v>
      </c>
      <c r="B23" s="19" t="s">
        <v>999</v>
      </c>
      <c r="D23" s="19" t="s">
        <v>1096</v>
      </c>
      <c r="F23" s="19" t="s">
        <v>1096</v>
      </c>
      <c r="G23" s="19" t="s">
        <v>1016</v>
      </c>
      <c r="H23" s="19">
        <v>5.0</v>
      </c>
      <c r="K23" s="19" t="s">
        <v>1004</v>
      </c>
      <c r="M23" s="19" t="s">
        <v>1097</v>
      </c>
      <c r="O23" s="19" t="s">
        <v>1007</v>
      </c>
      <c r="P23" s="19">
        <v>1.0</v>
      </c>
      <c r="Q23" s="19">
        <v>3.0</v>
      </c>
      <c r="U23" s="19" t="s">
        <v>1019</v>
      </c>
      <c r="V23" s="19" t="s">
        <v>1036</v>
      </c>
    </row>
    <row r="24" ht="14.25" customHeight="1">
      <c r="A24" s="19" t="s">
        <v>998</v>
      </c>
      <c r="B24" s="19" t="s">
        <v>1008</v>
      </c>
      <c r="D24" s="19" t="s">
        <v>1098</v>
      </c>
      <c r="G24" s="19" t="s">
        <v>1016</v>
      </c>
      <c r="H24" s="19">
        <v>5.0</v>
      </c>
      <c r="K24" s="19" t="s">
        <v>1099</v>
      </c>
      <c r="M24" s="19" t="s">
        <v>1098</v>
      </c>
      <c r="O24" s="19" t="s">
        <v>1007</v>
      </c>
      <c r="P24" s="19">
        <v>1.0</v>
      </c>
      <c r="Q24" s="19">
        <v>4.0</v>
      </c>
      <c r="U24" s="19" t="s">
        <v>1019</v>
      </c>
      <c r="V24" s="19" t="s">
        <v>1036</v>
      </c>
    </row>
    <row r="25" ht="14.25" customHeight="1">
      <c r="A25" s="19" t="s">
        <v>998</v>
      </c>
      <c r="B25" s="19" t="s">
        <v>1008</v>
      </c>
      <c r="D25" s="19" t="s">
        <v>1100</v>
      </c>
      <c r="G25" s="19" t="s">
        <v>1016</v>
      </c>
      <c r="H25" s="19">
        <v>5.0</v>
      </c>
      <c r="K25" s="19" t="s">
        <v>1099</v>
      </c>
      <c r="M25" s="19" t="s">
        <v>1100</v>
      </c>
      <c r="O25" s="19" t="s">
        <v>1007</v>
      </c>
      <c r="P25" s="19">
        <v>1.0</v>
      </c>
      <c r="Q25" s="19">
        <v>3.0</v>
      </c>
      <c r="U25" s="19" t="s">
        <v>1019</v>
      </c>
      <c r="V25" s="19" t="s">
        <v>1036</v>
      </c>
    </row>
    <row r="26" ht="14.25" customHeight="1">
      <c r="A26" s="19" t="s">
        <v>998</v>
      </c>
      <c r="B26" s="19" t="s">
        <v>1008</v>
      </c>
      <c r="D26" s="19" t="s">
        <v>1101</v>
      </c>
      <c r="G26" s="19" t="s">
        <v>1016</v>
      </c>
      <c r="H26" s="19">
        <v>5.0</v>
      </c>
      <c r="K26" s="19" t="s">
        <v>1099</v>
      </c>
      <c r="M26" s="19" t="s">
        <v>1101</v>
      </c>
      <c r="O26" s="19" t="s">
        <v>1007</v>
      </c>
      <c r="P26" s="19">
        <v>1.0</v>
      </c>
      <c r="Q26" s="19">
        <v>2.0</v>
      </c>
      <c r="U26" s="19" t="s">
        <v>1019</v>
      </c>
      <c r="V26" s="19" t="s">
        <v>1102</v>
      </c>
    </row>
    <row r="27" ht="14.25" customHeight="1">
      <c r="A27" s="19" t="s">
        <v>998</v>
      </c>
      <c r="B27" s="19" t="s">
        <v>1008</v>
      </c>
      <c r="C27" s="19">
        <v>13216.0</v>
      </c>
      <c r="D27" s="19" t="s">
        <v>1103</v>
      </c>
      <c r="E27" s="19" t="s">
        <v>259</v>
      </c>
      <c r="F27" s="19" t="s">
        <v>1104</v>
      </c>
      <c r="G27" s="19" t="s">
        <v>1021</v>
      </c>
      <c r="H27" s="19">
        <v>100.0</v>
      </c>
      <c r="I27" s="19">
        <f t="shared" ref="I27:I28" si="3">C27*H27%</f>
        <v>13216</v>
      </c>
      <c r="J27" s="19" t="s">
        <v>1105</v>
      </c>
      <c r="M27" s="19" t="s">
        <v>1023</v>
      </c>
      <c r="N27" s="19">
        <v>13216.0</v>
      </c>
      <c r="O27" s="19" t="s">
        <v>1007</v>
      </c>
      <c r="P27" s="19">
        <v>1.0</v>
      </c>
      <c r="U27" s="19" t="s">
        <v>1019</v>
      </c>
      <c r="V27" s="19" t="s">
        <v>1106</v>
      </c>
    </row>
    <row r="28" ht="14.25" customHeight="1">
      <c r="A28" s="19" t="s">
        <v>998</v>
      </c>
      <c r="B28" s="19" t="s">
        <v>1107</v>
      </c>
      <c r="C28" s="19">
        <v>3776.0</v>
      </c>
      <c r="D28" s="19" t="s">
        <v>591</v>
      </c>
      <c r="E28" s="19" t="s">
        <v>1108</v>
      </c>
      <c r="F28" s="19" t="s">
        <v>1109</v>
      </c>
      <c r="G28" s="19" t="s">
        <v>1110</v>
      </c>
      <c r="H28" s="19">
        <v>100.0</v>
      </c>
      <c r="I28" s="19">
        <f t="shared" si="3"/>
        <v>3776</v>
      </c>
      <c r="M28" s="19" t="s">
        <v>1109</v>
      </c>
      <c r="N28" s="19">
        <v>3776.0</v>
      </c>
      <c r="O28" s="19" t="s">
        <v>1007</v>
      </c>
      <c r="P28" s="19">
        <v>1.0</v>
      </c>
      <c r="U28" s="19" t="s">
        <v>1019</v>
      </c>
      <c r="V28" s="19" t="s">
        <v>1102</v>
      </c>
    </row>
    <row r="29" ht="14.25" customHeight="1">
      <c r="A29" s="19" t="s">
        <v>998</v>
      </c>
      <c r="B29" s="19" t="s">
        <v>1008</v>
      </c>
      <c r="C29" s="19">
        <v>10631.0</v>
      </c>
      <c r="D29" s="347" t="s">
        <v>1111</v>
      </c>
      <c r="F29" s="19" t="s">
        <v>1112</v>
      </c>
      <c r="G29" s="19" t="s">
        <v>1078</v>
      </c>
      <c r="H29" s="19">
        <v>0.0</v>
      </c>
      <c r="M29" s="19" t="s">
        <v>1113</v>
      </c>
      <c r="N29" s="19">
        <v>0.0</v>
      </c>
      <c r="O29" s="19" t="s">
        <v>1007</v>
      </c>
      <c r="P29" s="19">
        <v>1.0</v>
      </c>
      <c r="U29" s="19" t="s">
        <v>1019</v>
      </c>
      <c r="V29" s="19" t="s">
        <v>1102</v>
      </c>
    </row>
    <row r="30" ht="14.25" customHeight="1">
      <c r="A30" s="19" t="s">
        <v>998</v>
      </c>
      <c r="B30" s="19" t="s">
        <v>999</v>
      </c>
      <c r="C30" s="19">
        <v>322140.0</v>
      </c>
      <c r="D30" s="19" t="s">
        <v>1114</v>
      </c>
      <c r="F30" s="19" t="s">
        <v>1114</v>
      </c>
      <c r="G30" s="19" t="s">
        <v>1056</v>
      </c>
      <c r="H30" s="19">
        <v>20.0</v>
      </c>
      <c r="M30" s="19" t="s">
        <v>1114</v>
      </c>
      <c r="N30" s="19">
        <v>64428.0</v>
      </c>
      <c r="O30" s="19" t="s">
        <v>1007</v>
      </c>
      <c r="P30" s="19">
        <v>1.0</v>
      </c>
      <c r="U30" s="19" t="s">
        <v>1019</v>
      </c>
      <c r="V30" s="19" t="s">
        <v>1102</v>
      </c>
    </row>
    <row r="31" ht="14.25" customHeight="1">
      <c r="A31" s="19" t="s">
        <v>998</v>
      </c>
      <c r="B31" s="19" t="s">
        <v>1008</v>
      </c>
      <c r="C31" s="19">
        <v>93119.7</v>
      </c>
      <c r="D31" s="19" t="s">
        <v>1115</v>
      </c>
      <c r="F31" s="19" t="s">
        <v>1115</v>
      </c>
      <c r="G31" s="19" t="s">
        <v>1056</v>
      </c>
      <c r="H31" s="19">
        <v>20.0</v>
      </c>
      <c r="J31" s="19" t="s">
        <v>1116</v>
      </c>
      <c r="M31" s="19" t="s">
        <v>1115</v>
      </c>
      <c r="N31" s="19">
        <v>18623.94</v>
      </c>
      <c r="O31" s="19" t="s">
        <v>1007</v>
      </c>
      <c r="P31" s="19">
        <v>1.0</v>
      </c>
      <c r="U31" s="19" t="s">
        <v>1019</v>
      </c>
      <c r="V31" s="19" t="s">
        <v>1102</v>
      </c>
    </row>
    <row r="32" ht="14.25" customHeight="1">
      <c r="A32" s="19" t="s">
        <v>998</v>
      </c>
      <c r="B32" s="19" t="s">
        <v>1008</v>
      </c>
      <c r="C32" s="19">
        <v>137000.0</v>
      </c>
      <c r="D32" s="19" t="s">
        <v>1117</v>
      </c>
      <c r="G32" s="19" t="s">
        <v>1016</v>
      </c>
      <c r="H32" s="19">
        <v>5.0</v>
      </c>
      <c r="K32" s="19" t="s">
        <v>1099</v>
      </c>
      <c r="M32" s="19" t="s">
        <v>1117</v>
      </c>
      <c r="N32" s="19">
        <v>6850.0</v>
      </c>
      <c r="O32" s="19" t="s">
        <v>1007</v>
      </c>
      <c r="P32" s="19">
        <v>1.0</v>
      </c>
      <c r="Q32" s="19">
        <v>2.0</v>
      </c>
      <c r="U32" s="19" t="s">
        <v>1019</v>
      </c>
      <c r="V32" s="19" t="s">
        <v>1036</v>
      </c>
    </row>
    <row r="33" ht="14.25" customHeight="1">
      <c r="A33" s="19" t="s">
        <v>998</v>
      </c>
      <c r="B33" s="19" t="s">
        <v>1008</v>
      </c>
      <c r="C33" s="19">
        <v>403088.0</v>
      </c>
      <c r="D33" s="19" t="s">
        <v>1118</v>
      </c>
      <c r="F33" s="19" t="s">
        <v>1118</v>
      </c>
      <c r="G33" s="19" t="s">
        <v>1056</v>
      </c>
      <c r="H33" s="19">
        <v>20.0</v>
      </c>
      <c r="M33" s="19" t="s">
        <v>1118</v>
      </c>
      <c r="N33" s="19">
        <v>80617.6</v>
      </c>
      <c r="O33" s="19" t="s">
        <v>1007</v>
      </c>
      <c r="P33" s="19">
        <v>1.0</v>
      </c>
      <c r="U33" s="19" t="s">
        <v>1019</v>
      </c>
      <c r="V33" s="19" t="s">
        <v>1102</v>
      </c>
    </row>
    <row r="34" ht="14.25" customHeight="1">
      <c r="A34" s="19" t="s">
        <v>1119</v>
      </c>
      <c r="B34" s="19" t="s">
        <v>999</v>
      </c>
      <c r="C34" s="19">
        <v>2800000.0</v>
      </c>
      <c r="D34" s="19" t="s">
        <v>1120</v>
      </c>
      <c r="F34" s="19" t="s">
        <v>1121</v>
      </c>
      <c r="G34" s="19" t="s">
        <v>1056</v>
      </c>
      <c r="H34" s="19">
        <v>20.0</v>
      </c>
      <c r="J34" s="19" t="s">
        <v>1122</v>
      </c>
      <c r="K34" s="19" t="s">
        <v>1123</v>
      </c>
      <c r="M34" s="19" t="s">
        <v>1124</v>
      </c>
      <c r="N34" s="19">
        <v>560000.0</v>
      </c>
      <c r="O34" s="19" t="s">
        <v>1007</v>
      </c>
      <c r="P34" s="19">
        <v>1.0</v>
      </c>
      <c r="U34" s="19" t="s">
        <v>1019</v>
      </c>
    </row>
    <row r="35" ht="14.25" customHeight="1">
      <c r="A35" s="19" t="s">
        <v>1119</v>
      </c>
      <c r="B35" s="19" t="s">
        <v>1125</v>
      </c>
      <c r="C35" s="19">
        <v>390000.0</v>
      </c>
      <c r="D35" s="19" t="s">
        <v>1126</v>
      </c>
      <c r="F35" s="19" t="s">
        <v>1127</v>
      </c>
      <c r="G35" s="19" t="s">
        <v>1016</v>
      </c>
      <c r="H35" s="19">
        <v>5.0</v>
      </c>
      <c r="K35" s="19" t="s">
        <v>1062</v>
      </c>
      <c r="M35" s="19" t="s">
        <v>1128</v>
      </c>
      <c r="N35" s="19">
        <v>19500.0</v>
      </c>
      <c r="O35" s="19" t="s">
        <v>1007</v>
      </c>
      <c r="P35" s="19">
        <v>1.0</v>
      </c>
      <c r="T35" s="19" t="s">
        <v>1129</v>
      </c>
      <c r="U35" s="19" t="s">
        <v>1019</v>
      </c>
    </row>
    <row r="36" ht="14.25" customHeight="1">
      <c r="A36" s="19" t="s">
        <v>1119</v>
      </c>
      <c r="B36" s="19" t="s">
        <v>1008</v>
      </c>
      <c r="C36" s="19">
        <v>450000.0</v>
      </c>
      <c r="D36" s="19" t="s">
        <v>322</v>
      </c>
      <c r="F36" s="19" t="s">
        <v>1130</v>
      </c>
      <c r="G36" s="19" t="s">
        <v>1056</v>
      </c>
      <c r="H36" s="19">
        <v>20.0</v>
      </c>
      <c r="M36" s="19" t="s">
        <v>1131</v>
      </c>
      <c r="N36" s="19">
        <v>90000.0</v>
      </c>
      <c r="O36" s="19" t="s">
        <v>1007</v>
      </c>
      <c r="P36" s="19">
        <v>1.0</v>
      </c>
      <c r="U36" s="19" t="s">
        <v>1019</v>
      </c>
    </row>
    <row r="37" ht="14.25" customHeight="1">
      <c r="A37" s="19" t="s">
        <v>1119</v>
      </c>
      <c r="B37" s="19" t="s">
        <v>1008</v>
      </c>
      <c r="C37" s="19">
        <v>350000.0</v>
      </c>
      <c r="D37" s="19" t="s">
        <v>1132</v>
      </c>
      <c r="F37" s="19" t="s">
        <v>1133</v>
      </c>
      <c r="G37" s="19" t="s">
        <v>1016</v>
      </c>
      <c r="H37" s="19">
        <v>5.0</v>
      </c>
      <c r="J37" s="347" t="s">
        <v>1134</v>
      </c>
      <c r="K37" s="19" t="s">
        <v>1062</v>
      </c>
      <c r="M37" s="19" t="s">
        <v>1135</v>
      </c>
      <c r="N37" s="19">
        <v>17500.0</v>
      </c>
      <c r="O37" s="19" t="s">
        <v>1007</v>
      </c>
      <c r="P37" s="19">
        <v>1.0</v>
      </c>
      <c r="T37" s="19" t="s">
        <v>1136</v>
      </c>
      <c r="U37" s="19" t="s">
        <v>1019</v>
      </c>
    </row>
    <row r="38" ht="14.25" customHeight="1">
      <c r="A38" s="19" t="s">
        <v>1119</v>
      </c>
      <c r="B38" s="19" t="s">
        <v>1008</v>
      </c>
      <c r="C38" s="19">
        <v>800000.0</v>
      </c>
      <c r="D38" s="19" t="s">
        <v>1137</v>
      </c>
      <c r="E38" s="19" t="s">
        <v>243</v>
      </c>
      <c r="F38" s="19" t="s">
        <v>1138</v>
      </c>
      <c r="G38" s="19" t="s">
        <v>1002</v>
      </c>
      <c r="H38" s="19">
        <v>50.0</v>
      </c>
      <c r="J38" s="19" t="s">
        <v>1139</v>
      </c>
      <c r="K38" s="19" t="s">
        <v>1052</v>
      </c>
      <c r="M38" s="19" t="s">
        <v>1073</v>
      </c>
      <c r="N38" s="19">
        <v>400000.0</v>
      </c>
      <c r="O38" s="19" t="s">
        <v>1007</v>
      </c>
      <c r="P38" s="19">
        <v>1.0</v>
      </c>
      <c r="R38" s="19">
        <v>50.0</v>
      </c>
      <c r="S38" s="19">
        <v>50.0</v>
      </c>
      <c r="U38" s="19" t="s">
        <v>1052</v>
      </c>
      <c r="V38" s="19" t="s">
        <v>1036</v>
      </c>
    </row>
    <row r="39" ht="14.25" customHeight="1">
      <c r="A39" s="19" t="s">
        <v>1119</v>
      </c>
      <c r="B39" s="19" t="s">
        <v>1008</v>
      </c>
      <c r="C39" s="19">
        <v>300000.0</v>
      </c>
      <c r="D39" s="19" t="s">
        <v>657</v>
      </c>
      <c r="F39" s="19" t="s">
        <v>1140</v>
      </c>
      <c r="G39" s="19" t="s">
        <v>1056</v>
      </c>
      <c r="H39" s="19">
        <v>20.0</v>
      </c>
      <c r="J39" s="19" t="s">
        <v>1141</v>
      </c>
      <c r="M39" s="19" t="s">
        <v>1142</v>
      </c>
      <c r="N39" s="19">
        <v>60000.0</v>
      </c>
      <c r="O39" s="19" t="s">
        <v>1007</v>
      </c>
      <c r="P39" s="19">
        <v>1.0</v>
      </c>
      <c r="U39" s="19" t="s">
        <v>1019</v>
      </c>
      <c r="V39" s="19" t="s">
        <v>1036</v>
      </c>
    </row>
    <row r="40" ht="14.25" customHeight="1">
      <c r="A40" s="19" t="s">
        <v>1119</v>
      </c>
      <c r="B40" s="19" t="s">
        <v>1008</v>
      </c>
      <c r="D40" s="19" t="s">
        <v>1143</v>
      </c>
      <c r="F40" s="19" t="s">
        <v>1143</v>
      </c>
      <c r="G40" s="19" t="s">
        <v>1144</v>
      </c>
      <c r="H40" s="19">
        <v>10.0</v>
      </c>
      <c r="K40" s="19" t="s">
        <v>1004</v>
      </c>
      <c r="M40" s="19" t="s">
        <v>1145</v>
      </c>
      <c r="O40" s="19" t="s">
        <v>1007</v>
      </c>
      <c r="P40" s="19">
        <v>1.0</v>
      </c>
      <c r="Q40" s="19">
        <v>7.0</v>
      </c>
      <c r="U40" s="19" t="s">
        <v>1019</v>
      </c>
      <c r="V40" s="19" t="s">
        <v>1036</v>
      </c>
    </row>
    <row r="41" ht="14.25" customHeight="1">
      <c r="A41" s="19" t="s">
        <v>1119</v>
      </c>
      <c r="B41" s="19" t="s">
        <v>1008</v>
      </c>
      <c r="D41" s="19" t="s">
        <v>1146</v>
      </c>
      <c r="F41" s="19" t="s">
        <v>1146</v>
      </c>
      <c r="G41" s="19" t="s">
        <v>1016</v>
      </c>
      <c r="H41" s="19">
        <v>5.0</v>
      </c>
      <c r="K41" s="19" t="s">
        <v>1099</v>
      </c>
      <c r="M41" s="19" t="s">
        <v>1147</v>
      </c>
      <c r="O41" s="19" t="s">
        <v>1007</v>
      </c>
      <c r="P41" s="19">
        <v>1.0</v>
      </c>
      <c r="Q41" s="19">
        <v>3.0</v>
      </c>
      <c r="U41" s="19" t="s">
        <v>1019</v>
      </c>
      <c r="V41" s="19" t="s">
        <v>1036</v>
      </c>
    </row>
    <row r="42" ht="14.25" customHeight="1">
      <c r="A42" s="19" t="s">
        <v>1119</v>
      </c>
      <c r="B42" s="19" t="s">
        <v>1008</v>
      </c>
      <c r="C42" s="19">
        <v>290000.0</v>
      </c>
      <c r="D42" s="19" t="s">
        <v>1148</v>
      </c>
      <c r="E42" s="19" t="s">
        <v>282</v>
      </c>
      <c r="F42" s="19" t="s">
        <v>1149</v>
      </c>
      <c r="G42" s="19" t="s">
        <v>1061</v>
      </c>
      <c r="H42" s="19">
        <v>80.0</v>
      </c>
      <c r="I42" s="19">
        <f t="shared" ref="I42:I43" si="4">C42</f>
        <v>290000</v>
      </c>
      <c r="M42" s="19" t="s">
        <v>1150</v>
      </c>
      <c r="N42" s="19">
        <v>232000.0</v>
      </c>
      <c r="O42" s="19" t="s">
        <v>1007</v>
      </c>
      <c r="P42" s="19">
        <v>1.0</v>
      </c>
      <c r="U42" s="19" t="s">
        <v>1019</v>
      </c>
      <c r="V42" s="19" t="s">
        <v>1036</v>
      </c>
    </row>
    <row r="43" ht="14.25" customHeight="1">
      <c r="A43" s="19" t="s">
        <v>1151</v>
      </c>
      <c r="B43" s="19" t="s">
        <v>999</v>
      </c>
      <c r="C43" s="19">
        <v>9600000.0</v>
      </c>
      <c r="D43" s="19" t="s">
        <v>1152</v>
      </c>
      <c r="F43" s="19" t="s">
        <v>1130</v>
      </c>
      <c r="G43" s="19" t="s">
        <v>1002</v>
      </c>
      <c r="H43" s="19">
        <v>50.0</v>
      </c>
      <c r="I43" s="19">
        <f t="shared" si="4"/>
        <v>9600000</v>
      </c>
      <c r="M43" s="19" t="s">
        <v>1153</v>
      </c>
      <c r="N43" s="19">
        <v>4800000.0</v>
      </c>
      <c r="O43" s="19" t="s">
        <v>1007</v>
      </c>
      <c r="P43" s="19">
        <v>1.0</v>
      </c>
      <c r="R43" s="19">
        <v>84.0</v>
      </c>
      <c r="S43" s="19">
        <v>84.0</v>
      </c>
      <c r="U43" s="19" t="s">
        <v>1019</v>
      </c>
      <c r="V43" s="19" t="s">
        <v>1154</v>
      </c>
    </row>
    <row r="44" ht="14.25" customHeight="1">
      <c r="A44" s="19" t="s">
        <v>1151</v>
      </c>
      <c r="B44" s="19" t="s">
        <v>1008</v>
      </c>
      <c r="C44" s="19">
        <v>450000.0</v>
      </c>
      <c r="D44" s="19" t="s">
        <v>1155</v>
      </c>
      <c r="F44" s="19" t="s">
        <v>1156</v>
      </c>
      <c r="G44" s="19" t="s">
        <v>1016</v>
      </c>
      <c r="H44" s="19">
        <v>5.0</v>
      </c>
      <c r="M44" s="19" t="s">
        <v>1157</v>
      </c>
      <c r="N44" s="19">
        <v>22500.0</v>
      </c>
      <c r="O44" s="19" t="s">
        <v>1007</v>
      </c>
      <c r="P44" s="19">
        <v>1.0</v>
      </c>
      <c r="U44" s="19" t="s">
        <v>1019</v>
      </c>
      <c r="V44" s="19" t="s">
        <v>1036</v>
      </c>
    </row>
    <row r="45" ht="14.25" customHeight="1"/>
    <row r="46" ht="14.25" customHeight="1">
      <c r="I46" s="348">
        <f>SUBTOTAL(9,I2:I44)</f>
        <v>15456992</v>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AG$44"/>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4.0"/>
    <col customWidth="1" min="3" max="4" width="8.63"/>
    <col customWidth="1" min="5" max="5" width="10.0"/>
    <col customWidth="1" min="6" max="26" width="8.63"/>
  </cols>
  <sheetData>
    <row r="1" ht="14.25" customHeight="1"/>
    <row r="2" ht="14.25" customHeight="1">
      <c r="A2" s="19" t="s">
        <v>1158</v>
      </c>
      <c r="B2" s="19" t="s">
        <v>1159</v>
      </c>
      <c r="C2" s="19">
        <v>50.0</v>
      </c>
      <c r="E2" s="349">
        <f>C2/C3</f>
        <v>3.753753754</v>
      </c>
    </row>
    <row r="3" ht="14.25" customHeight="1">
      <c r="A3" s="19" t="s">
        <v>1160</v>
      </c>
      <c r="B3" s="19" t="s">
        <v>1161</v>
      </c>
      <c r="C3" s="19">
        <v>13.32</v>
      </c>
      <c r="D3" s="19" t="s">
        <v>1162</v>
      </c>
      <c r="I3" s="19">
        <v>15.0</v>
      </c>
      <c r="J3" s="19">
        <v>7.5</v>
      </c>
      <c r="K3" s="19">
        <f>C3-J3</f>
        <v>5.82</v>
      </c>
      <c r="L3" s="168">
        <f>C2/K3</f>
        <v>8.591065292</v>
      </c>
    </row>
    <row r="4" ht="14.25" customHeight="1">
      <c r="I4" s="19">
        <v>2.0</v>
      </c>
    </row>
    <row r="5" ht="14.25" customHeight="1">
      <c r="C5" s="19" t="s">
        <v>1163</v>
      </c>
      <c r="D5" s="19" t="s">
        <v>1164</v>
      </c>
      <c r="I5" s="19">
        <v>1.0</v>
      </c>
    </row>
    <row r="6" ht="14.25" customHeight="1"/>
    <row r="7" ht="14.25" customHeight="1">
      <c r="B7" s="19" t="s">
        <v>1165</v>
      </c>
      <c r="C7" s="19" t="s">
        <v>1166</v>
      </c>
    </row>
    <row r="8" ht="14.25" customHeight="1">
      <c r="E8" s="19" t="s">
        <v>1167</v>
      </c>
      <c r="F8" s="19" t="s">
        <v>1168</v>
      </c>
    </row>
    <row r="9" ht="14.25" customHeight="1">
      <c r="A9" s="19" t="s">
        <v>1169</v>
      </c>
      <c r="B9" s="19" t="s">
        <v>1168</v>
      </c>
      <c r="C9" s="19">
        <v>27.0</v>
      </c>
      <c r="D9" s="19">
        <f>C9*12</f>
        <v>324</v>
      </c>
      <c r="E9" s="19">
        <v>3.5</v>
      </c>
    </row>
    <row r="10" ht="14.25" customHeight="1"/>
    <row r="11" ht="14.25" customHeight="1">
      <c r="E11" s="19">
        <v>10.0</v>
      </c>
      <c r="F11" s="350">
        <f>E11/12</f>
        <v>0.8333333333</v>
      </c>
    </row>
    <row r="12" ht="14.25" customHeight="1"/>
    <row r="13" ht="14.25" customHeight="1">
      <c r="E13" s="19" t="s">
        <v>1168</v>
      </c>
      <c r="F13" s="19">
        <v>50.0</v>
      </c>
      <c r="G13" s="19">
        <v>1.0</v>
      </c>
      <c r="H13" s="19">
        <v>3.0</v>
      </c>
      <c r="I13" s="19">
        <v>5.5</v>
      </c>
    </row>
    <row r="14" ht="14.25" customHeight="1"/>
    <row r="15" ht="14.25" customHeight="1">
      <c r="E15" s="19" t="s">
        <v>1168</v>
      </c>
      <c r="F15" s="19">
        <v>2.0</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3.0"/>
    <col customWidth="1" min="3" max="3" width="37.88"/>
    <col customWidth="1" min="4" max="5" width="12.38"/>
    <col customWidth="1" min="6" max="8" width="12.88"/>
    <col customWidth="1" min="9" max="26" width="8.63"/>
  </cols>
  <sheetData>
    <row r="1" ht="45.0" customHeight="1">
      <c r="C1" s="351" t="s">
        <v>0</v>
      </c>
      <c r="D1" s="352"/>
      <c r="E1" s="353"/>
    </row>
    <row r="2" ht="14.25" customHeight="1">
      <c r="C2" s="354" t="s">
        <v>1170</v>
      </c>
      <c r="D2" s="355"/>
      <c r="E2" s="356"/>
    </row>
    <row r="3" ht="14.25" customHeight="1">
      <c r="C3" s="357" t="s">
        <v>1171</v>
      </c>
    </row>
    <row r="4" ht="14.25" customHeight="1">
      <c r="C4" s="358" t="s">
        <v>1172</v>
      </c>
      <c r="D4" s="252"/>
      <c r="E4" s="253"/>
      <c r="F4" s="359" t="s">
        <v>1173</v>
      </c>
      <c r="G4" s="359" t="s">
        <v>1174</v>
      </c>
      <c r="H4" s="360" t="s">
        <v>1175</v>
      </c>
    </row>
    <row r="5" ht="14.25" customHeight="1">
      <c r="C5" s="361" t="s">
        <v>54</v>
      </c>
      <c r="D5" s="362" t="s">
        <v>1176</v>
      </c>
      <c r="E5" s="362" t="s">
        <v>1177</v>
      </c>
      <c r="F5" s="363"/>
      <c r="G5" s="363"/>
      <c r="H5" s="364"/>
    </row>
    <row r="6" ht="14.25" customHeight="1">
      <c r="C6" s="365" t="s">
        <v>1178</v>
      </c>
      <c r="D6" s="366" t="s">
        <v>16</v>
      </c>
      <c r="E6" s="364">
        <f>SUM(D7:D9)</f>
        <v>-205920</v>
      </c>
      <c r="F6" s="364"/>
      <c r="G6" s="364"/>
      <c r="H6" s="364"/>
    </row>
    <row r="7" ht="14.25" customHeight="1">
      <c r="C7" s="367" t="s">
        <v>1179</v>
      </c>
      <c r="D7" s="368">
        <v>-321921.0</v>
      </c>
      <c r="E7" s="369" t="s">
        <v>16</v>
      </c>
      <c r="F7" s="369"/>
      <c r="G7" s="369"/>
      <c r="H7" s="369"/>
    </row>
    <row r="8" ht="14.25" customHeight="1">
      <c r="C8" s="370" t="s">
        <v>1180</v>
      </c>
      <c r="D8" s="368">
        <v>116001.0</v>
      </c>
      <c r="E8" s="369" t="s">
        <v>16</v>
      </c>
      <c r="F8" s="369"/>
      <c r="G8" s="369"/>
      <c r="H8" s="369"/>
    </row>
    <row r="9" ht="14.25" customHeight="1">
      <c r="C9" s="370"/>
      <c r="D9" s="371"/>
      <c r="E9" s="369" t="s">
        <v>16</v>
      </c>
      <c r="F9" s="369"/>
      <c r="G9" s="369"/>
      <c r="H9" s="369"/>
    </row>
    <row r="10" ht="14.25" customHeight="1">
      <c r="C10" s="365" t="s">
        <v>1181</v>
      </c>
      <c r="D10" s="366" t="s">
        <v>16</v>
      </c>
      <c r="E10" s="364">
        <f>SUM(D11:D13)</f>
        <v>1551043</v>
      </c>
      <c r="F10" s="364"/>
      <c r="G10" s="364"/>
      <c r="H10" s="364"/>
    </row>
    <row r="11" ht="14.25" customHeight="1">
      <c r="C11" s="370" t="s">
        <v>1182</v>
      </c>
      <c r="D11" s="368">
        <v>1323443.0</v>
      </c>
      <c r="E11" s="369"/>
      <c r="F11" s="369"/>
      <c r="G11" s="369"/>
      <c r="H11" s="369"/>
    </row>
    <row r="12" ht="14.25" customHeight="1">
      <c r="C12" s="370" t="s">
        <v>1183</v>
      </c>
      <c r="D12" s="368">
        <v>217000.0</v>
      </c>
      <c r="E12" s="369"/>
      <c r="F12" s="369"/>
      <c r="G12" s="369"/>
      <c r="H12" s="369"/>
    </row>
    <row r="13" ht="14.25" customHeight="1">
      <c r="C13" s="370" t="s">
        <v>1184</v>
      </c>
      <c r="D13" s="372">
        <v>10600.0</v>
      </c>
      <c r="E13" s="369" t="s">
        <v>16</v>
      </c>
      <c r="F13" s="369"/>
      <c r="G13" s="369"/>
      <c r="H13" s="369"/>
    </row>
    <row r="14" ht="14.25" customHeight="1">
      <c r="C14" s="365"/>
      <c r="D14" s="366"/>
      <c r="E14" s="364"/>
      <c r="F14" s="364"/>
      <c r="G14" s="364"/>
      <c r="H14" s="364"/>
    </row>
    <row r="15" ht="14.25" customHeight="1">
      <c r="C15" s="365" t="s">
        <v>1185</v>
      </c>
      <c r="D15" s="366" t="s">
        <v>16</v>
      </c>
      <c r="E15" s="364">
        <f>SUM(D16:D20)</f>
        <v>430388.33</v>
      </c>
      <c r="F15" s="364"/>
      <c r="G15" s="364"/>
      <c r="H15" s="364"/>
    </row>
    <row r="16" ht="14.25" customHeight="1">
      <c r="C16" s="367" t="s">
        <v>1186</v>
      </c>
      <c r="D16" s="373">
        <f>700902-558705</f>
        <v>142197</v>
      </c>
      <c r="E16" s="369" t="s">
        <v>16</v>
      </c>
      <c r="F16" s="369"/>
      <c r="G16" s="369"/>
      <c r="H16" s="369"/>
    </row>
    <row r="17" ht="14.25" customHeight="1">
      <c r="C17" s="367" t="s">
        <v>1187</v>
      </c>
      <c r="D17" s="374">
        <v>0.0</v>
      </c>
      <c r="E17" s="369" t="s">
        <v>16</v>
      </c>
      <c r="F17" s="369"/>
      <c r="G17" s="369"/>
      <c r="H17" s="369"/>
    </row>
    <row r="18" ht="14.25" customHeight="1">
      <c r="C18" s="367" t="s">
        <v>1188</v>
      </c>
      <c r="D18" s="368">
        <v>23603.0</v>
      </c>
      <c r="E18" s="369" t="s">
        <v>16</v>
      </c>
      <c r="F18" s="369"/>
      <c r="G18" s="369"/>
      <c r="H18" s="369"/>
    </row>
    <row r="19" ht="14.25" customHeight="1">
      <c r="C19" s="367" t="s">
        <v>1189</v>
      </c>
      <c r="D19" s="368">
        <f>-17931.67+150</f>
        <v>-17781.67</v>
      </c>
      <c r="E19" s="369" t="s">
        <v>16</v>
      </c>
      <c r="F19" s="369"/>
      <c r="G19" s="369"/>
      <c r="H19" s="369"/>
    </row>
    <row r="20" ht="14.25" customHeight="1">
      <c r="C20" s="367" t="s">
        <v>1190</v>
      </c>
      <c r="D20" s="371">
        <f>302372-20002</f>
        <v>282370</v>
      </c>
      <c r="E20" s="369" t="s">
        <v>16</v>
      </c>
      <c r="F20" s="369"/>
      <c r="G20" s="369"/>
      <c r="H20" s="369"/>
    </row>
    <row r="21" ht="14.25" customHeight="1">
      <c r="C21" s="365"/>
      <c r="D21" s="366" t="s">
        <v>16</v>
      </c>
      <c r="E21" s="369" t="s">
        <v>16</v>
      </c>
      <c r="F21" s="369"/>
      <c r="G21" s="369"/>
      <c r="H21" s="369"/>
    </row>
    <row r="22" ht="14.25" customHeight="1">
      <c r="C22" s="365" t="s">
        <v>53</v>
      </c>
      <c r="D22" s="366" t="s">
        <v>16</v>
      </c>
      <c r="E22" s="364">
        <f>SUM(D23)</f>
        <v>4368347.17</v>
      </c>
      <c r="F22" s="364"/>
      <c r="G22" s="364"/>
      <c r="H22" s="364"/>
    </row>
    <row r="23" ht="14.25" customHeight="1">
      <c r="C23" s="370" t="s">
        <v>1191</v>
      </c>
      <c r="D23" s="368">
        <f>'P&amp;L Detailed'!N49</f>
        <v>4368347.17</v>
      </c>
      <c r="E23" s="369" t="s">
        <v>16</v>
      </c>
      <c r="F23" s="369"/>
      <c r="G23" s="369"/>
      <c r="H23" s="369"/>
    </row>
    <row r="24" ht="14.25" customHeight="1">
      <c r="C24" s="370"/>
      <c r="D24" s="368"/>
      <c r="E24" s="369"/>
      <c r="F24" s="369"/>
      <c r="G24" s="369"/>
      <c r="H24" s="369"/>
    </row>
    <row r="25" ht="14.25" customHeight="1">
      <c r="C25" s="375" t="s">
        <v>38</v>
      </c>
      <c r="D25" s="376" t="s">
        <v>16</v>
      </c>
      <c r="E25" s="377">
        <f>SUM(E6:E23)</f>
        <v>6143858.5</v>
      </c>
      <c r="F25" s="377"/>
      <c r="G25" s="378"/>
      <c r="H25" s="378"/>
    </row>
    <row r="26" ht="14.25" customHeight="1">
      <c r="C26" s="379" t="s">
        <v>1192</v>
      </c>
      <c r="D26" s="123"/>
      <c r="E26" s="380"/>
      <c r="F26" s="381"/>
      <c r="G26" s="381"/>
      <c r="H26" s="381"/>
    </row>
    <row r="27" ht="14.25" customHeight="1">
      <c r="C27" s="365" t="s">
        <v>1193</v>
      </c>
      <c r="D27" s="366" t="s">
        <v>16</v>
      </c>
      <c r="E27" s="364">
        <f t="shared" ref="E27:H27" si="1">SUM(D28:D30)</f>
        <v>1848126</v>
      </c>
      <c r="F27" s="364">
        <f t="shared" si="1"/>
        <v>0</v>
      </c>
      <c r="G27" s="382">
        <f t="shared" si="1"/>
        <v>0</v>
      </c>
      <c r="H27" s="382">
        <f t="shared" si="1"/>
        <v>0</v>
      </c>
    </row>
    <row r="28" ht="14.25" customHeight="1">
      <c r="C28" s="367" t="s">
        <v>1194</v>
      </c>
      <c r="D28" s="368">
        <v>69016.0</v>
      </c>
      <c r="E28" s="369" t="s">
        <v>16</v>
      </c>
      <c r="F28" s="369" t="s">
        <v>16</v>
      </c>
      <c r="G28" s="383" t="s">
        <v>16</v>
      </c>
      <c r="H28" s="383" t="s">
        <v>16</v>
      </c>
    </row>
    <row r="29" ht="14.25" customHeight="1">
      <c r="C29" s="367" t="s">
        <v>1195</v>
      </c>
      <c r="D29" s="368">
        <v>1779110.0</v>
      </c>
      <c r="E29" s="369" t="s">
        <v>16</v>
      </c>
      <c r="F29" s="369" t="s">
        <v>16</v>
      </c>
      <c r="G29" s="383" t="s">
        <v>16</v>
      </c>
      <c r="H29" s="383" t="s">
        <v>16</v>
      </c>
    </row>
    <row r="30" ht="14.25" customHeight="1">
      <c r="C30" s="367"/>
      <c r="D30" s="371"/>
      <c r="E30" s="369" t="s">
        <v>16</v>
      </c>
      <c r="F30" s="369" t="s">
        <v>16</v>
      </c>
      <c r="G30" s="383" t="s">
        <v>16</v>
      </c>
      <c r="H30" s="383" t="s">
        <v>16</v>
      </c>
    </row>
    <row r="31" ht="14.25" customHeight="1">
      <c r="C31" s="365" t="s">
        <v>1196</v>
      </c>
      <c r="D31" s="366" t="s">
        <v>16</v>
      </c>
      <c r="E31" s="384">
        <f t="shared" ref="E31:H31" si="2">SUM(D32:D40)</f>
        <v>1143118</v>
      </c>
      <c r="F31" s="384">
        <f t="shared" si="2"/>
        <v>0</v>
      </c>
      <c r="G31" s="385">
        <f t="shared" si="2"/>
        <v>0</v>
      </c>
      <c r="H31" s="385">
        <f t="shared" si="2"/>
        <v>0</v>
      </c>
    </row>
    <row r="32" ht="14.25" customHeight="1">
      <c r="C32" s="367" t="s">
        <v>1197</v>
      </c>
      <c r="D32" s="368">
        <v>0.0</v>
      </c>
      <c r="E32" s="369" t="s">
        <v>16</v>
      </c>
      <c r="F32" s="369" t="s">
        <v>16</v>
      </c>
      <c r="G32" s="383" t="s">
        <v>16</v>
      </c>
      <c r="H32" s="383" t="s">
        <v>16</v>
      </c>
    </row>
    <row r="33" ht="14.25" customHeight="1">
      <c r="C33" s="367" t="s">
        <v>1198</v>
      </c>
      <c r="D33" s="373"/>
      <c r="E33" s="369" t="s">
        <v>16</v>
      </c>
      <c r="F33" s="369" t="s">
        <v>16</v>
      </c>
      <c r="G33" s="383" t="s">
        <v>16</v>
      </c>
      <c r="H33" s="383" t="s">
        <v>16</v>
      </c>
    </row>
    <row r="34" ht="14.25" customHeight="1">
      <c r="C34" s="367" t="s">
        <v>1199</v>
      </c>
      <c r="D34" s="368">
        <v>100167.0</v>
      </c>
      <c r="E34" s="369" t="s">
        <v>16</v>
      </c>
      <c r="F34" s="369" t="s">
        <v>16</v>
      </c>
      <c r="G34" s="383" t="s">
        <v>16</v>
      </c>
      <c r="H34" s="383" t="s">
        <v>16</v>
      </c>
    </row>
    <row r="35" ht="14.25" customHeight="1">
      <c r="C35" s="367" t="s">
        <v>1200</v>
      </c>
      <c r="D35" s="373">
        <f>10684183-10459551</f>
        <v>224632</v>
      </c>
      <c r="E35" s="369" t="s">
        <v>16</v>
      </c>
      <c r="F35" s="369" t="s">
        <v>16</v>
      </c>
      <c r="G35" s="383" t="s">
        <v>16</v>
      </c>
      <c r="H35" s="383" t="s">
        <v>16</v>
      </c>
    </row>
    <row r="36" ht="14.25" customHeight="1">
      <c r="C36" s="367" t="s">
        <v>1201</v>
      </c>
      <c r="D36" s="368">
        <v>208394.0</v>
      </c>
      <c r="E36" s="369" t="s">
        <v>16</v>
      </c>
      <c r="F36" s="369" t="s">
        <v>16</v>
      </c>
      <c r="G36" s="383" t="s">
        <v>16</v>
      </c>
      <c r="H36" s="383" t="s">
        <v>16</v>
      </c>
    </row>
    <row r="37" ht="14.25" customHeight="1">
      <c r="C37" s="367" t="s">
        <v>1202</v>
      </c>
      <c r="D37" s="368">
        <v>609925.0</v>
      </c>
      <c r="E37" s="369" t="s">
        <v>16</v>
      </c>
      <c r="F37" s="369" t="s">
        <v>16</v>
      </c>
      <c r="G37" s="383" t="s">
        <v>16</v>
      </c>
      <c r="H37" s="383" t="s">
        <v>16</v>
      </c>
    </row>
    <row r="38" ht="14.25" customHeight="1">
      <c r="C38" s="367" t="s">
        <v>1203</v>
      </c>
      <c r="D38" s="373"/>
      <c r="E38" s="369" t="s">
        <v>16</v>
      </c>
      <c r="F38" s="369" t="s">
        <v>16</v>
      </c>
      <c r="G38" s="383" t="s">
        <v>16</v>
      </c>
      <c r="H38" s="383" t="s">
        <v>16</v>
      </c>
    </row>
    <row r="39" ht="14.25" customHeight="1">
      <c r="C39" s="367" t="s">
        <v>1204</v>
      </c>
      <c r="D39" s="373"/>
      <c r="E39" s="369" t="s">
        <v>16</v>
      </c>
      <c r="F39" s="369" t="s">
        <v>16</v>
      </c>
      <c r="G39" s="383" t="s">
        <v>16</v>
      </c>
      <c r="H39" s="383" t="s">
        <v>16</v>
      </c>
    </row>
    <row r="40" ht="14.25" customHeight="1">
      <c r="C40" s="370" t="s">
        <v>1205</v>
      </c>
      <c r="D40" s="373"/>
      <c r="E40" s="369" t="s">
        <v>16</v>
      </c>
      <c r="F40" s="369" t="s">
        <v>16</v>
      </c>
      <c r="G40" s="383" t="s">
        <v>16</v>
      </c>
      <c r="H40" s="383" t="s">
        <v>16</v>
      </c>
    </row>
    <row r="41" ht="14.25" customHeight="1">
      <c r="C41" s="386" t="s">
        <v>38</v>
      </c>
      <c r="D41" s="387" t="s">
        <v>16</v>
      </c>
      <c r="E41" s="388">
        <f t="shared" ref="E41:H41" si="3">SUM(E27:E40)</f>
        <v>2991244</v>
      </c>
      <c r="F41" s="388">
        <f t="shared" si="3"/>
        <v>0</v>
      </c>
      <c r="G41" s="389">
        <f t="shared" si="3"/>
        <v>0</v>
      </c>
      <c r="H41" s="389">
        <f t="shared" si="3"/>
        <v>0</v>
      </c>
    </row>
    <row r="42" ht="14.25" customHeight="1"/>
    <row r="43" ht="14.25" customHeight="1">
      <c r="C43" s="390" t="s">
        <v>1206</v>
      </c>
      <c r="D43" s="391"/>
      <c r="E43" s="392">
        <f>E25-E41</f>
        <v>3152614.5</v>
      </c>
      <c r="F43" s="391"/>
      <c r="G43" s="391"/>
      <c r="H43" s="391"/>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5">
    <mergeCell ref="C1:E1"/>
    <mergeCell ref="C2:E2"/>
    <mergeCell ref="C3:E3"/>
    <mergeCell ref="C4:E4"/>
    <mergeCell ref="C26:E26"/>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s>
  <sheetData>
    <row r="1">
      <c r="A1" s="393" t="s">
        <v>0</v>
      </c>
      <c r="C1" s="394"/>
      <c r="D1" s="394"/>
      <c r="E1" s="394"/>
      <c r="F1" s="394"/>
      <c r="G1" s="394"/>
      <c r="H1" s="394"/>
      <c r="I1" s="394"/>
      <c r="J1" s="394"/>
      <c r="K1" s="394"/>
    </row>
    <row r="2">
      <c r="A2" s="395" t="s">
        <v>1207</v>
      </c>
      <c r="B2" s="396"/>
      <c r="C2" s="394"/>
      <c r="D2" s="394"/>
      <c r="E2" s="394"/>
      <c r="F2" s="394"/>
      <c r="G2" s="394"/>
      <c r="H2" s="394"/>
      <c r="I2" s="394"/>
      <c r="J2" s="394"/>
      <c r="K2" s="394"/>
    </row>
    <row r="3">
      <c r="A3" s="397" t="s">
        <v>54</v>
      </c>
      <c r="B3" s="398">
        <v>46137.0</v>
      </c>
      <c r="C3" s="399">
        <v>46167.0</v>
      </c>
      <c r="D3" s="398">
        <v>46198.0</v>
      </c>
      <c r="E3" s="399">
        <v>46228.0</v>
      </c>
      <c r="F3" s="398">
        <v>46259.0</v>
      </c>
      <c r="G3" s="399">
        <v>46290.0</v>
      </c>
      <c r="H3" s="398">
        <v>46320.0</v>
      </c>
      <c r="I3" s="399">
        <v>46351.0</v>
      </c>
      <c r="J3" s="398">
        <v>46381.0</v>
      </c>
      <c r="K3" s="399">
        <v>46048.0</v>
      </c>
    </row>
    <row r="4">
      <c r="A4" s="400" t="s">
        <v>1208</v>
      </c>
      <c r="B4" s="401">
        <v>667981.0</v>
      </c>
      <c r="C4" s="402">
        <v>595098.0</v>
      </c>
      <c r="D4" s="402">
        <v>538215.85</v>
      </c>
      <c r="E4" s="402">
        <v>306606.88</v>
      </c>
      <c r="F4" s="402">
        <v>558764.41</v>
      </c>
      <c r="G4" s="402">
        <v>591118.38</v>
      </c>
      <c r="H4" s="402">
        <v>489274.92</v>
      </c>
      <c r="I4" s="402">
        <v>640540.49</v>
      </c>
      <c r="J4" s="402">
        <v>897197.59</v>
      </c>
      <c r="K4" s="402">
        <v>1266575.83</v>
      </c>
    </row>
    <row r="5">
      <c r="A5" s="403" t="s">
        <v>1209</v>
      </c>
      <c r="B5" s="404"/>
      <c r="C5" s="404"/>
      <c r="D5" s="404"/>
      <c r="E5" s="404"/>
      <c r="F5" s="404"/>
      <c r="G5" s="405"/>
      <c r="H5" s="405"/>
      <c r="I5" s="405"/>
      <c r="J5" s="405"/>
      <c r="K5" s="405"/>
    </row>
    <row r="6">
      <c r="A6" s="406" t="s">
        <v>1185</v>
      </c>
      <c r="B6" s="407"/>
      <c r="C6" s="408"/>
      <c r="D6" s="409">
        <v>1379.0</v>
      </c>
      <c r="E6" s="408"/>
      <c r="F6" s="407"/>
      <c r="G6" s="410">
        <v>1364.0</v>
      </c>
      <c r="H6" s="407"/>
      <c r="I6" s="408"/>
      <c r="J6" s="409">
        <v>2931.0</v>
      </c>
      <c r="K6" s="410">
        <v>271.0</v>
      </c>
    </row>
    <row r="7">
      <c r="A7" s="411" t="s">
        <v>1188</v>
      </c>
      <c r="B7" s="407"/>
      <c r="C7" s="408"/>
      <c r="D7" s="412">
        <v>1379.0</v>
      </c>
      <c r="E7" s="408"/>
      <c r="F7" s="407"/>
      <c r="G7" s="413">
        <v>1364.0</v>
      </c>
      <c r="H7" s="407"/>
      <c r="I7" s="408"/>
      <c r="J7" s="412">
        <v>2931.0</v>
      </c>
      <c r="K7" s="413">
        <v>271.0</v>
      </c>
    </row>
    <row r="8">
      <c r="A8" s="406" t="s">
        <v>1196</v>
      </c>
      <c r="B8" s="409">
        <v>802290.15</v>
      </c>
      <c r="C8" s="410">
        <v>896918.72</v>
      </c>
      <c r="D8" s="409">
        <v>568771.96</v>
      </c>
      <c r="E8" s="410">
        <v>920440.0</v>
      </c>
      <c r="F8" s="409">
        <v>756983.66</v>
      </c>
      <c r="G8" s="410">
        <v>694013.34</v>
      </c>
      <c r="H8" s="409">
        <v>1166815.19</v>
      </c>
      <c r="I8" s="410">
        <v>1081432.08</v>
      </c>
      <c r="J8" s="409">
        <v>1301836.01</v>
      </c>
      <c r="K8" s="410">
        <v>842116.15</v>
      </c>
    </row>
    <row r="9">
      <c r="A9" s="411" t="s">
        <v>1200</v>
      </c>
      <c r="B9" s="412">
        <v>802290.15</v>
      </c>
      <c r="C9" s="413">
        <v>896918.72</v>
      </c>
      <c r="D9" s="412">
        <v>568771.96</v>
      </c>
      <c r="E9" s="413">
        <v>920440.0</v>
      </c>
      <c r="F9" s="412">
        <v>756983.66</v>
      </c>
      <c r="G9" s="413">
        <v>694013.34</v>
      </c>
      <c r="H9" s="412">
        <v>1166815.19</v>
      </c>
      <c r="I9" s="413">
        <v>1081432.08</v>
      </c>
      <c r="J9" s="412">
        <v>1301836.01</v>
      </c>
      <c r="K9" s="413">
        <v>842116.15</v>
      </c>
    </row>
    <row r="10">
      <c r="A10" s="406" t="s">
        <v>22</v>
      </c>
      <c r="B10" s="407"/>
      <c r="C10" s="408"/>
      <c r="D10" s="407"/>
      <c r="E10" s="408"/>
      <c r="F10" s="409">
        <v>1.0</v>
      </c>
      <c r="G10" s="410">
        <v>2.0</v>
      </c>
      <c r="H10" s="409">
        <v>1.94</v>
      </c>
      <c r="I10" s="410">
        <v>11.69</v>
      </c>
      <c r="J10" s="407"/>
      <c r="K10" s="408"/>
    </row>
    <row r="11">
      <c r="A11" s="411" t="s">
        <v>25</v>
      </c>
      <c r="B11" s="407"/>
      <c r="C11" s="408"/>
      <c r="D11" s="407"/>
      <c r="E11" s="408"/>
      <c r="F11" s="412">
        <v>1.0</v>
      </c>
      <c r="G11" s="413">
        <v>2.0</v>
      </c>
      <c r="H11" s="407"/>
      <c r="I11" s="408"/>
      <c r="J11" s="407"/>
      <c r="K11" s="408"/>
    </row>
    <row r="12">
      <c r="A12" s="414" t="s">
        <v>1210</v>
      </c>
      <c r="B12" s="407"/>
      <c r="C12" s="408"/>
      <c r="D12" s="407"/>
      <c r="E12" s="408"/>
      <c r="F12" s="407"/>
      <c r="G12" s="408"/>
      <c r="H12" s="412">
        <v>1.94</v>
      </c>
      <c r="I12" s="413">
        <v>11.69</v>
      </c>
      <c r="J12" s="407"/>
      <c r="K12" s="408"/>
    </row>
    <row r="13">
      <c r="A13" s="415" t="s">
        <v>38</v>
      </c>
      <c r="B13" s="409">
        <v>802290.15</v>
      </c>
      <c r="C13" s="410">
        <v>896918.72</v>
      </c>
      <c r="D13" s="409">
        <v>570150.96</v>
      </c>
      <c r="E13" s="410">
        <v>920440.0</v>
      </c>
      <c r="F13" s="409">
        <v>756984.66</v>
      </c>
      <c r="G13" s="410">
        <v>695379.34</v>
      </c>
      <c r="H13" s="409">
        <v>1166817.13</v>
      </c>
      <c r="I13" s="410">
        <v>1081443.77</v>
      </c>
      <c r="J13" s="409">
        <v>1304767.01</v>
      </c>
      <c r="K13" s="410">
        <v>842387.15</v>
      </c>
    </row>
    <row r="14">
      <c r="A14" s="416" t="s">
        <v>1211</v>
      </c>
      <c r="B14" s="404"/>
      <c r="C14" s="404"/>
      <c r="D14" s="404"/>
      <c r="E14" s="404"/>
      <c r="F14" s="404"/>
      <c r="G14" s="405"/>
      <c r="H14" s="405"/>
      <c r="I14" s="405"/>
      <c r="J14" s="405"/>
      <c r="K14" s="405"/>
    </row>
    <row r="15">
      <c r="A15" s="417" t="s">
        <v>1181</v>
      </c>
      <c r="B15" s="409">
        <v>20000.0</v>
      </c>
      <c r="C15" s="410">
        <v>31468.0</v>
      </c>
      <c r="D15" s="409">
        <v>15000.0</v>
      </c>
      <c r="E15" s="408"/>
      <c r="F15" s="409">
        <v>40000.0</v>
      </c>
      <c r="G15" s="408"/>
      <c r="H15" s="409">
        <v>30000.0</v>
      </c>
      <c r="I15" s="410">
        <v>30000.0</v>
      </c>
      <c r="J15" s="409">
        <v>40000.0</v>
      </c>
      <c r="K15" s="410">
        <v>40000.0</v>
      </c>
    </row>
    <row r="16">
      <c r="A16" s="418" t="s">
        <v>1212</v>
      </c>
      <c r="B16" s="412">
        <v>20000.0</v>
      </c>
      <c r="C16" s="413">
        <v>31468.0</v>
      </c>
      <c r="D16" s="412">
        <v>15000.0</v>
      </c>
      <c r="E16" s="408"/>
      <c r="F16" s="412">
        <v>40000.0</v>
      </c>
      <c r="G16" s="408"/>
      <c r="H16" s="412">
        <v>30000.0</v>
      </c>
      <c r="I16" s="413">
        <v>30000.0</v>
      </c>
      <c r="J16" s="412">
        <v>40000.0</v>
      </c>
      <c r="K16" s="413">
        <v>40000.0</v>
      </c>
    </row>
    <row r="17">
      <c r="A17" s="417" t="s">
        <v>1185</v>
      </c>
      <c r="B17" s="409">
        <v>817980.25</v>
      </c>
      <c r="C17" s="410">
        <v>886874.07</v>
      </c>
      <c r="D17" s="409">
        <v>777136.23</v>
      </c>
      <c r="E17" s="410">
        <v>649780.17</v>
      </c>
      <c r="F17" s="409">
        <v>637008.47</v>
      </c>
      <c r="G17" s="410">
        <v>784343.6</v>
      </c>
      <c r="H17" s="409">
        <v>960914.04</v>
      </c>
      <c r="I17" s="410">
        <v>766120.67</v>
      </c>
      <c r="J17" s="409">
        <v>890003.27</v>
      </c>
      <c r="K17" s="410">
        <v>1150498.4</v>
      </c>
    </row>
    <row r="18">
      <c r="A18" s="418" t="s">
        <v>1186</v>
      </c>
      <c r="B18" s="412">
        <v>35960.0</v>
      </c>
      <c r="C18" s="413">
        <v>41757.0</v>
      </c>
      <c r="D18" s="412">
        <v>43703.0</v>
      </c>
      <c r="E18" s="413">
        <v>37126.0</v>
      </c>
      <c r="F18" s="412">
        <v>48846.0</v>
      </c>
      <c r="G18" s="413">
        <v>83201.0</v>
      </c>
      <c r="H18" s="412">
        <v>72325.0</v>
      </c>
      <c r="I18" s="413">
        <v>96893.0</v>
      </c>
      <c r="J18" s="412">
        <v>101257.0</v>
      </c>
      <c r="K18" s="413">
        <v>111709.0</v>
      </c>
    </row>
    <row r="19">
      <c r="A19" s="418" t="s">
        <v>1188</v>
      </c>
      <c r="B19" s="412">
        <v>405483.25</v>
      </c>
      <c r="C19" s="413">
        <v>375315.07</v>
      </c>
      <c r="D19" s="412">
        <v>299888.23</v>
      </c>
      <c r="E19" s="413">
        <v>269447.17</v>
      </c>
      <c r="F19" s="412">
        <v>282235.47</v>
      </c>
      <c r="G19" s="413">
        <v>368792.83</v>
      </c>
      <c r="H19" s="412">
        <v>528252.56</v>
      </c>
      <c r="I19" s="413">
        <v>333831.67</v>
      </c>
      <c r="J19" s="412">
        <v>387811.32</v>
      </c>
      <c r="K19" s="413">
        <v>556355.77</v>
      </c>
    </row>
    <row r="20">
      <c r="A20" s="418" t="s">
        <v>1213</v>
      </c>
      <c r="B20" s="412">
        <v>74000.0</v>
      </c>
      <c r="C20" s="413">
        <v>115000.0</v>
      </c>
      <c r="D20" s="412">
        <v>75962.0</v>
      </c>
      <c r="E20" s="413">
        <v>16000.0</v>
      </c>
      <c r="F20" s="419"/>
      <c r="G20" s="420"/>
      <c r="H20" s="419"/>
      <c r="I20" s="420"/>
      <c r="J20" s="419"/>
      <c r="K20" s="408"/>
    </row>
    <row r="21">
      <c r="A21" s="418" t="s">
        <v>1214</v>
      </c>
      <c r="B21" s="419"/>
      <c r="C21" s="413">
        <v>17633.0</v>
      </c>
      <c r="D21" s="412">
        <v>2168.0</v>
      </c>
      <c r="E21" s="413">
        <v>18862.0</v>
      </c>
      <c r="F21" s="419"/>
      <c r="G21" s="413">
        <v>24017.77</v>
      </c>
      <c r="H21" s="412">
        <v>34001.48</v>
      </c>
      <c r="I21" s="420"/>
      <c r="J21" s="419"/>
      <c r="K21" s="408"/>
    </row>
    <row r="22">
      <c r="A22" s="418" t="s">
        <v>1215</v>
      </c>
      <c r="B22" s="412">
        <v>302537.0</v>
      </c>
      <c r="C22" s="413">
        <v>337169.0</v>
      </c>
      <c r="D22" s="412">
        <v>355415.0</v>
      </c>
      <c r="E22" s="413">
        <v>308345.0</v>
      </c>
      <c r="F22" s="412">
        <v>305927.0</v>
      </c>
      <c r="G22" s="413">
        <v>308332.0</v>
      </c>
      <c r="H22" s="412">
        <v>326335.0</v>
      </c>
      <c r="I22" s="413">
        <v>335396.0</v>
      </c>
      <c r="J22" s="412">
        <v>400934.95</v>
      </c>
      <c r="K22" s="413">
        <v>482433.63</v>
      </c>
    </row>
    <row r="23">
      <c r="A23" s="417" t="s">
        <v>1196</v>
      </c>
      <c r="B23" s="409">
        <v>2000.0</v>
      </c>
      <c r="C23" s="410">
        <v>19441.0</v>
      </c>
      <c r="D23" s="409">
        <v>6000.0</v>
      </c>
      <c r="E23" s="410">
        <v>15195.0</v>
      </c>
      <c r="F23" s="409">
        <v>44425.0</v>
      </c>
      <c r="G23" s="410">
        <v>8094.0</v>
      </c>
      <c r="H23" s="409">
        <v>23305.0</v>
      </c>
      <c r="I23" s="410">
        <v>26883.0</v>
      </c>
      <c r="J23" s="409">
        <v>5002.0</v>
      </c>
      <c r="K23" s="410">
        <v>117000.0</v>
      </c>
    </row>
    <row r="24">
      <c r="A24" s="418" t="s">
        <v>1199</v>
      </c>
      <c r="B24" s="407"/>
      <c r="C24" s="408"/>
      <c r="D24" s="407"/>
      <c r="E24" s="408"/>
      <c r="F24" s="412">
        <v>42000.0</v>
      </c>
      <c r="G24" s="413">
        <v>3282.0</v>
      </c>
      <c r="H24" s="407"/>
      <c r="I24" s="408"/>
      <c r="J24" s="407"/>
      <c r="K24" s="413">
        <v>100000.0</v>
      </c>
    </row>
    <row r="25">
      <c r="A25" s="418" t="s">
        <v>1200</v>
      </c>
      <c r="B25" s="412">
        <v>2000.0</v>
      </c>
      <c r="C25" s="413">
        <v>19441.0</v>
      </c>
      <c r="D25" s="412">
        <v>6000.0</v>
      </c>
      <c r="E25" s="413">
        <v>15195.0</v>
      </c>
      <c r="F25" s="412">
        <v>2425.0</v>
      </c>
      <c r="G25" s="413">
        <v>4812.0</v>
      </c>
      <c r="H25" s="412">
        <v>23305.0</v>
      </c>
      <c r="I25" s="413">
        <v>26883.0</v>
      </c>
      <c r="J25" s="412">
        <v>5002.0</v>
      </c>
      <c r="K25" s="413">
        <v>17000.0</v>
      </c>
    </row>
    <row r="26">
      <c r="A26" s="417" t="s">
        <v>1216</v>
      </c>
      <c r="B26" s="409">
        <v>2450.0</v>
      </c>
      <c r="C26" s="410">
        <v>3840.0</v>
      </c>
      <c r="D26" s="407"/>
      <c r="E26" s="410">
        <v>30.0</v>
      </c>
      <c r="F26" s="407"/>
      <c r="G26" s="408"/>
      <c r="H26" s="407"/>
      <c r="I26" s="408"/>
      <c r="J26" s="407"/>
      <c r="K26" s="408"/>
    </row>
    <row r="27">
      <c r="A27" s="418" t="s">
        <v>69</v>
      </c>
      <c r="B27" s="412">
        <v>2450.0</v>
      </c>
      <c r="C27" s="413">
        <v>3840.0</v>
      </c>
      <c r="D27" s="407"/>
      <c r="E27" s="413">
        <v>30.0</v>
      </c>
      <c r="F27" s="407"/>
      <c r="G27" s="408"/>
      <c r="H27" s="407"/>
      <c r="I27" s="408"/>
      <c r="J27" s="407"/>
      <c r="K27" s="408"/>
    </row>
    <row r="28">
      <c r="A28" s="417" t="s">
        <v>18</v>
      </c>
      <c r="B28" s="407"/>
      <c r="C28" s="408"/>
      <c r="D28" s="407"/>
      <c r="E28" s="410">
        <v>8500.0</v>
      </c>
      <c r="F28" s="407"/>
      <c r="G28" s="408"/>
      <c r="H28" s="407"/>
      <c r="I28" s="408"/>
      <c r="J28" s="407"/>
      <c r="K28" s="408"/>
    </row>
    <row r="29">
      <c r="A29" s="421" t="s">
        <v>1217</v>
      </c>
      <c r="B29" s="407"/>
      <c r="C29" s="408"/>
      <c r="D29" s="407"/>
      <c r="E29" s="413">
        <v>8500.0</v>
      </c>
      <c r="F29" s="407"/>
      <c r="G29" s="408"/>
      <c r="H29" s="407"/>
      <c r="I29" s="408"/>
      <c r="J29" s="407"/>
      <c r="K29" s="408"/>
    </row>
    <row r="30">
      <c r="A30" s="417" t="s">
        <v>22</v>
      </c>
      <c r="B30" s="409">
        <v>32742.9</v>
      </c>
      <c r="C30" s="410">
        <v>12177.8</v>
      </c>
      <c r="D30" s="409">
        <v>3623.7</v>
      </c>
      <c r="E30" s="410">
        <v>3277.3</v>
      </c>
      <c r="F30" s="409">
        <v>3197.22</v>
      </c>
      <c r="G30" s="410">
        <v>4785.2</v>
      </c>
      <c r="H30" s="409">
        <v>1332.52</v>
      </c>
      <c r="I30" s="410">
        <v>1783.0</v>
      </c>
      <c r="J30" s="409">
        <v>383.5</v>
      </c>
      <c r="K30" s="410">
        <v>1645.0</v>
      </c>
    </row>
    <row r="31">
      <c r="A31" s="418" t="s">
        <v>1218</v>
      </c>
      <c r="B31" s="412">
        <v>5118.0</v>
      </c>
      <c r="C31" s="413">
        <v>2576.0</v>
      </c>
      <c r="D31" s="412">
        <v>3606.0</v>
      </c>
      <c r="E31" s="413">
        <v>3118.0</v>
      </c>
      <c r="F31" s="412">
        <v>118.0</v>
      </c>
      <c r="G31" s="420"/>
      <c r="H31" s="412">
        <v>1060.82</v>
      </c>
      <c r="I31" s="408"/>
      <c r="J31" s="419"/>
      <c r="K31" s="408"/>
    </row>
    <row r="32">
      <c r="A32" s="418" t="s">
        <v>25</v>
      </c>
      <c r="B32" s="412">
        <v>123.9</v>
      </c>
      <c r="C32" s="413">
        <v>11.8</v>
      </c>
      <c r="D32" s="412">
        <v>17.7</v>
      </c>
      <c r="E32" s="413">
        <v>159.3</v>
      </c>
      <c r="F32" s="412">
        <v>1283.22</v>
      </c>
      <c r="G32" s="413">
        <v>344.2</v>
      </c>
      <c r="H32" s="412">
        <v>253.7</v>
      </c>
      <c r="I32" s="413">
        <v>354.0</v>
      </c>
      <c r="J32" s="412">
        <v>383.5</v>
      </c>
      <c r="K32" s="413">
        <v>354.0</v>
      </c>
    </row>
    <row r="33">
      <c r="A33" s="418" t="s">
        <v>112</v>
      </c>
      <c r="B33" s="419"/>
      <c r="C33" s="420"/>
      <c r="D33" s="419"/>
      <c r="E33" s="420"/>
      <c r="F33" s="407"/>
      <c r="G33" s="413">
        <v>4435.0</v>
      </c>
      <c r="H33" s="419"/>
      <c r="I33" s="413">
        <v>1410.0</v>
      </c>
      <c r="J33" s="419"/>
      <c r="K33" s="413">
        <v>1291.0</v>
      </c>
    </row>
    <row r="34">
      <c r="A34" s="421" t="s">
        <v>1219</v>
      </c>
      <c r="B34" s="412">
        <v>2500.0</v>
      </c>
      <c r="C34" s="420"/>
      <c r="D34" s="419"/>
      <c r="E34" s="420"/>
      <c r="F34" s="407"/>
      <c r="G34" s="420"/>
      <c r="H34" s="419"/>
      <c r="I34" s="420"/>
      <c r="J34" s="419"/>
      <c r="K34" s="420"/>
    </row>
    <row r="35">
      <c r="A35" s="421" t="s">
        <v>1210</v>
      </c>
      <c r="B35" s="419"/>
      <c r="C35" s="420"/>
      <c r="D35" s="419"/>
      <c r="E35" s="420"/>
      <c r="F35" s="412">
        <v>60.0</v>
      </c>
      <c r="G35" s="413">
        <v>6.0</v>
      </c>
      <c r="H35" s="412">
        <v>18.0</v>
      </c>
      <c r="I35" s="413">
        <v>19.0</v>
      </c>
      <c r="J35" s="419"/>
      <c r="K35" s="420"/>
    </row>
    <row r="36">
      <c r="A36" s="421" t="s">
        <v>121</v>
      </c>
      <c r="B36" s="412">
        <v>25000.0</v>
      </c>
      <c r="C36" s="413">
        <v>9590.0</v>
      </c>
      <c r="D36" s="419"/>
      <c r="E36" s="420"/>
      <c r="F36" s="412">
        <v>1735.0</v>
      </c>
      <c r="G36" s="420"/>
      <c r="H36" s="419"/>
      <c r="I36" s="420"/>
      <c r="J36" s="419"/>
      <c r="K36" s="420"/>
    </row>
    <row r="37">
      <c r="A37" s="421" t="s">
        <v>1220</v>
      </c>
      <c r="B37" s="412">
        <v>1.0</v>
      </c>
      <c r="C37" s="420"/>
      <c r="D37" s="419"/>
      <c r="E37" s="420"/>
      <c r="F37" s="412">
        <v>1.0</v>
      </c>
      <c r="G37" s="420"/>
      <c r="H37" s="419"/>
      <c r="I37" s="420"/>
      <c r="J37" s="419"/>
      <c r="K37" s="420"/>
    </row>
    <row r="38">
      <c r="A38" s="422" t="s">
        <v>38</v>
      </c>
      <c r="B38" s="409">
        <v>875173.15</v>
      </c>
      <c r="C38" s="409">
        <v>953800.87</v>
      </c>
      <c r="D38" s="409">
        <v>801759.93</v>
      </c>
      <c r="E38" s="409">
        <v>668282.47</v>
      </c>
      <c r="F38" s="409">
        <v>724630.69</v>
      </c>
      <c r="G38" s="409">
        <v>797222.8</v>
      </c>
      <c r="H38" s="409">
        <v>1015551.56</v>
      </c>
      <c r="I38" s="409">
        <v>824786.67</v>
      </c>
      <c r="J38" s="409">
        <v>935388.77</v>
      </c>
      <c r="K38" s="409">
        <v>1309143.4</v>
      </c>
    </row>
    <row r="39">
      <c r="A39" s="422" t="s">
        <v>1221</v>
      </c>
      <c r="B39" s="409">
        <v>595098.0</v>
      </c>
      <c r="C39" s="409">
        <v>538215.85</v>
      </c>
      <c r="D39" s="409">
        <v>306606.88</v>
      </c>
      <c r="E39" s="409">
        <v>558764.41</v>
      </c>
      <c r="F39" s="409">
        <v>591118.38</v>
      </c>
      <c r="G39" s="409">
        <v>489274.92</v>
      </c>
      <c r="H39" s="409">
        <v>640540.49</v>
      </c>
      <c r="I39" s="409">
        <v>897197.59</v>
      </c>
      <c r="J39" s="409">
        <v>1266575.83</v>
      </c>
      <c r="K39" s="409">
        <v>799819.58</v>
      </c>
    </row>
    <row r="40">
      <c r="A40" s="423" t="s">
        <v>1222</v>
      </c>
      <c r="B40" s="424">
        <v>-72883.0</v>
      </c>
      <c r="C40" s="424">
        <v>-56882.15</v>
      </c>
      <c r="D40" s="424">
        <v>-231608.97</v>
      </c>
      <c r="E40" s="424">
        <v>252157.53</v>
      </c>
      <c r="F40" s="424">
        <v>32353.97</v>
      </c>
      <c r="G40" s="424">
        <v>-101843.46</v>
      </c>
      <c r="H40" s="424">
        <v>151265.57</v>
      </c>
      <c r="I40" s="424">
        <v>256657.1</v>
      </c>
      <c r="J40" s="424">
        <v>369378.24</v>
      </c>
      <c r="K40" s="424">
        <v>-466756.25</v>
      </c>
    </row>
  </sheetData>
  <mergeCells count="2">
    <mergeCell ref="A1:B1"/>
    <mergeCell ref="A2:B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36.5"/>
    <col customWidth="1" min="3" max="4" width="15.63"/>
    <col customWidth="1" min="5" max="5" width="3.88"/>
    <col customWidth="1" hidden="1" min="6" max="6" width="21.13"/>
    <col customWidth="1" hidden="1" min="7" max="7" width="3.88"/>
    <col customWidth="1" hidden="1" min="8" max="8" width="21.13"/>
    <col customWidth="1" hidden="1" min="9" max="16" width="7.75"/>
    <col customWidth="1" min="17" max="18" width="15.63"/>
    <col customWidth="1" min="19" max="19" width="8.38"/>
    <col customWidth="1" min="20" max="20" width="11.38"/>
    <col customWidth="1" min="21" max="26" width="7.75"/>
  </cols>
  <sheetData>
    <row r="1" ht="14.25" customHeight="1">
      <c r="B1" s="425"/>
      <c r="C1" s="426"/>
      <c r="D1" s="427"/>
      <c r="Q1" s="428"/>
      <c r="R1" s="429"/>
    </row>
    <row r="2" ht="14.25" customHeight="1">
      <c r="B2" s="430"/>
      <c r="D2" s="256"/>
      <c r="Q2" s="431"/>
      <c r="R2" s="432"/>
    </row>
    <row r="3" ht="14.25" customHeight="1">
      <c r="B3" s="430"/>
      <c r="D3" s="256"/>
      <c r="Q3" s="431"/>
      <c r="R3" s="432"/>
    </row>
    <row r="4" ht="14.25" customHeight="1">
      <c r="B4" s="433" t="s">
        <v>1223</v>
      </c>
      <c r="C4" s="434" t="s">
        <v>1224</v>
      </c>
      <c r="D4" s="353"/>
      <c r="E4" s="435"/>
      <c r="F4" s="436" t="s">
        <v>1225</v>
      </c>
      <c r="G4" s="435"/>
      <c r="H4" s="436" t="s">
        <v>1226</v>
      </c>
      <c r="Q4" s="437" t="s">
        <v>1227</v>
      </c>
      <c r="R4" s="353"/>
    </row>
    <row r="5" ht="14.25" customHeight="1">
      <c r="B5" s="131"/>
      <c r="C5" s="434" t="s">
        <v>1228</v>
      </c>
      <c r="D5" s="353"/>
      <c r="E5" s="435"/>
      <c r="F5" s="438" t="s">
        <v>1229</v>
      </c>
      <c r="G5" s="435"/>
      <c r="H5" s="438" t="str">
        <f>+C5</f>
        <v>29.08.2024 - 31.03.2025</v>
      </c>
      <c r="Q5" s="437" t="s">
        <v>1230</v>
      </c>
      <c r="R5" s="353"/>
    </row>
    <row r="6" ht="14.25" customHeight="1">
      <c r="B6" s="439" t="s">
        <v>1231</v>
      </c>
      <c r="C6" s="439"/>
      <c r="D6" s="440">
        <v>-3111188.32</v>
      </c>
      <c r="E6" s="435"/>
      <c r="F6" s="441">
        <v>0.0</v>
      </c>
      <c r="G6" s="435"/>
      <c r="H6" s="441">
        <f>+D6-F6</f>
        <v>-3111188.32</v>
      </c>
      <c r="Q6" s="442"/>
      <c r="R6" s="443">
        <v>6968502.66</v>
      </c>
    </row>
    <row r="7" ht="14.25" customHeight="1">
      <c r="B7" s="439" t="s">
        <v>1232</v>
      </c>
      <c r="C7" s="444">
        <v>108495.0</v>
      </c>
      <c r="D7" s="445"/>
      <c r="E7" s="435"/>
      <c r="F7" s="441"/>
      <c r="G7" s="435"/>
      <c r="H7" s="441"/>
      <c r="Q7" s="446">
        <v>1705636.0</v>
      </c>
      <c r="R7" s="447"/>
    </row>
    <row r="8" ht="14.25" customHeight="1">
      <c r="B8" s="439" t="s">
        <v>1233</v>
      </c>
      <c r="C8" s="444">
        <v>22571.0</v>
      </c>
      <c r="D8" s="445"/>
      <c r="E8" s="435"/>
      <c r="F8" s="441"/>
      <c r="G8" s="435"/>
      <c r="H8" s="441"/>
      <c r="Q8" s="446">
        <v>12866.66</v>
      </c>
      <c r="R8" s="447"/>
    </row>
    <row r="9" ht="14.25" customHeight="1">
      <c r="B9" s="439" t="s">
        <v>1234</v>
      </c>
      <c r="C9" s="444">
        <v>-3242254.0</v>
      </c>
      <c r="D9" s="445"/>
      <c r="E9" s="435"/>
      <c r="F9" s="441"/>
      <c r="G9" s="435"/>
      <c r="H9" s="441"/>
      <c r="Q9" s="446">
        <v>5250000.0</v>
      </c>
      <c r="R9" s="447"/>
    </row>
    <row r="10" ht="14.25" customHeight="1">
      <c r="B10" s="439"/>
      <c r="C10" s="448"/>
      <c r="D10" s="445"/>
      <c r="E10" s="435"/>
      <c r="F10" s="441"/>
      <c r="G10" s="435"/>
      <c r="H10" s="441"/>
      <c r="Q10" s="442"/>
      <c r="R10" s="447"/>
    </row>
    <row r="11" ht="14.25" customHeight="1">
      <c r="B11" s="439" t="s">
        <v>1235</v>
      </c>
      <c r="C11" s="448"/>
      <c r="D11" s="445"/>
      <c r="E11" s="435"/>
      <c r="F11" s="441"/>
      <c r="G11" s="435"/>
      <c r="H11" s="441"/>
      <c r="Q11" s="442"/>
      <c r="R11" s="447"/>
    </row>
    <row r="12" ht="14.25" customHeight="1">
      <c r="B12" s="449" t="s">
        <v>1236</v>
      </c>
      <c r="C12" s="444">
        <v>2.8E7</v>
      </c>
      <c r="D12" s="445"/>
      <c r="E12" s="435"/>
      <c r="F12" s="441">
        <v>0.0</v>
      </c>
      <c r="G12" s="435"/>
      <c r="H12" s="441">
        <f t="shared" ref="H12:H13" si="1">+C12-F12</f>
        <v>28000000</v>
      </c>
      <c r="Q12" s="447"/>
      <c r="R12" s="447"/>
    </row>
    <row r="13" ht="14.25" customHeight="1">
      <c r="B13" s="449" t="s">
        <v>1237</v>
      </c>
      <c r="C13" s="444">
        <v>1.1238672E7</v>
      </c>
      <c r="D13" s="445"/>
      <c r="E13" s="435"/>
      <c r="F13" s="441">
        <v>0.0</v>
      </c>
      <c r="G13" s="435"/>
      <c r="H13" s="441">
        <f t="shared" si="1"/>
        <v>11238672</v>
      </c>
      <c r="Q13" s="446">
        <v>6653301.0</v>
      </c>
      <c r="R13" s="447"/>
    </row>
    <row r="14" ht="14.25" customHeight="1">
      <c r="B14" s="449" t="s">
        <v>1238</v>
      </c>
      <c r="C14" s="444">
        <v>9500000.0</v>
      </c>
      <c r="D14" s="445"/>
      <c r="E14" s="435"/>
      <c r="F14" s="441"/>
      <c r="G14" s="435"/>
      <c r="H14" s="441"/>
      <c r="Q14" s="446">
        <v>2500000.0</v>
      </c>
      <c r="R14" s="447"/>
    </row>
    <row r="15" ht="14.25" customHeight="1">
      <c r="B15" s="449" t="s">
        <v>1239</v>
      </c>
      <c r="C15" s="444">
        <v>855180.0</v>
      </c>
      <c r="D15" s="445"/>
      <c r="E15" s="435"/>
      <c r="F15" s="441"/>
      <c r="G15" s="435"/>
      <c r="H15" s="441"/>
      <c r="Q15" s="447"/>
      <c r="R15" s="447"/>
    </row>
    <row r="16" ht="14.25" customHeight="1">
      <c r="B16" s="449" t="s">
        <v>1240</v>
      </c>
      <c r="C16" s="450">
        <v>1019134.0</v>
      </c>
      <c r="D16" s="445"/>
      <c r="E16" s="435"/>
      <c r="F16" s="451">
        <v>0.0</v>
      </c>
      <c r="G16" s="435"/>
      <c r="H16" s="451">
        <f>+C16-F16</f>
        <v>1019134</v>
      </c>
      <c r="Q16" s="452">
        <v>904406.0</v>
      </c>
      <c r="R16" s="447"/>
    </row>
    <row r="17" ht="14.25" customHeight="1">
      <c r="B17" s="453" t="s">
        <v>1241</v>
      </c>
      <c r="C17" s="454"/>
      <c r="D17" s="455">
        <v>5.0612986E7</v>
      </c>
      <c r="E17" s="435"/>
      <c r="F17" s="456">
        <f>SUM(F12:F16)</f>
        <v>0</v>
      </c>
      <c r="G17" s="435"/>
      <c r="H17" s="456">
        <f>+D17-F17</f>
        <v>50612986</v>
      </c>
      <c r="Q17" s="457"/>
      <c r="R17" s="458">
        <v>1.0057707E7</v>
      </c>
    </row>
    <row r="18" ht="14.25" customHeight="1">
      <c r="B18" s="459"/>
      <c r="C18" s="460"/>
      <c r="D18" s="445"/>
      <c r="E18" s="435"/>
      <c r="F18" s="441"/>
      <c r="G18" s="435"/>
      <c r="H18" s="441"/>
      <c r="Q18" s="447"/>
      <c r="R18" s="447"/>
    </row>
    <row r="19" ht="14.25" customHeight="1">
      <c r="B19" s="439" t="s">
        <v>1242</v>
      </c>
      <c r="C19" s="448"/>
      <c r="D19" s="445"/>
      <c r="E19" s="435"/>
      <c r="F19" s="441"/>
      <c r="G19" s="435"/>
      <c r="H19" s="441"/>
      <c r="Q19" s="442"/>
      <c r="R19" s="447"/>
    </row>
    <row r="20" ht="14.25" customHeight="1">
      <c r="B20" s="461" t="s">
        <v>1243</v>
      </c>
      <c r="C20" s="462"/>
      <c r="D20" s="445"/>
      <c r="E20" s="435"/>
      <c r="F20" s="441"/>
      <c r="G20" s="435"/>
      <c r="H20" s="441"/>
      <c r="Q20" s="463"/>
      <c r="R20" s="447"/>
    </row>
    <row r="21" ht="14.25" customHeight="1">
      <c r="B21" s="449" t="s">
        <v>1244</v>
      </c>
      <c r="C21" s="444">
        <v>7668963.0</v>
      </c>
      <c r="D21" s="445"/>
      <c r="E21" s="435"/>
      <c r="F21" s="441">
        <v>0.0</v>
      </c>
      <c r="G21" s="435"/>
      <c r="H21" s="441">
        <f t="shared" ref="H21:H23" si="2">+C21-F21</f>
        <v>7668963</v>
      </c>
      <c r="Q21" s="446">
        <v>3045261.63</v>
      </c>
      <c r="R21" s="447"/>
    </row>
    <row r="22" ht="14.25" customHeight="1">
      <c r="B22" s="449" t="s">
        <v>1245</v>
      </c>
      <c r="C22" s="444">
        <v>734039.0</v>
      </c>
      <c r="D22" s="445"/>
      <c r="E22" s="435"/>
      <c r="F22" s="441">
        <v>0.0</v>
      </c>
      <c r="G22" s="435"/>
      <c r="H22" s="441">
        <f t="shared" si="2"/>
        <v>734039</v>
      </c>
      <c r="Q22" s="446">
        <v>495635.67</v>
      </c>
      <c r="R22" s="447"/>
    </row>
    <row r="23" ht="14.25" customHeight="1">
      <c r="B23" s="449" t="s">
        <v>1246</v>
      </c>
      <c r="C23" s="450">
        <v>50634.0</v>
      </c>
      <c r="D23" s="445"/>
      <c r="E23" s="435"/>
      <c r="F23" s="451">
        <v>0.0</v>
      </c>
      <c r="G23" s="435"/>
      <c r="H23" s="451">
        <f t="shared" si="2"/>
        <v>50634</v>
      </c>
      <c r="Q23" s="452">
        <v>5483.0</v>
      </c>
      <c r="R23" s="447"/>
    </row>
    <row r="24" ht="14.25" customHeight="1">
      <c r="B24" s="464" t="s">
        <v>1247</v>
      </c>
      <c r="C24" s="465"/>
      <c r="D24" s="466">
        <v>8453635.0</v>
      </c>
      <c r="E24" s="435"/>
      <c r="F24" s="467">
        <f>SUM(F21:F23)</f>
        <v>0</v>
      </c>
      <c r="G24" s="435"/>
      <c r="H24" s="467">
        <f>+D24-F24</f>
        <v>8453635</v>
      </c>
      <c r="Q24" s="468"/>
      <c r="R24" s="443">
        <v>3546380.3</v>
      </c>
    </row>
    <row r="25" ht="14.25" customHeight="1">
      <c r="B25" s="459"/>
      <c r="C25" s="460"/>
      <c r="D25" s="445"/>
      <c r="E25" s="435"/>
      <c r="F25" s="441"/>
      <c r="G25" s="435"/>
      <c r="H25" s="441"/>
      <c r="Q25" s="447"/>
      <c r="R25" s="447"/>
    </row>
    <row r="26" ht="14.25" customHeight="1">
      <c r="B26" s="461" t="s">
        <v>1248</v>
      </c>
      <c r="C26" s="462"/>
      <c r="D26" s="445"/>
      <c r="E26" s="435"/>
      <c r="F26" s="441"/>
      <c r="G26" s="435"/>
      <c r="H26" s="441"/>
      <c r="Q26" s="463"/>
      <c r="R26" s="447"/>
    </row>
    <row r="27" ht="14.25" customHeight="1">
      <c r="B27" s="449" t="s">
        <v>1249</v>
      </c>
      <c r="C27" s="444">
        <v>1841965.0</v>
      </c>
      <c r="D27" s="445"/>
      <c r="E27" s="435"/>
      <c r="F27" s="441">
        <v>0.0</v>
      </c>
      <c r="G27" s="435"/>
      <c r="H27" s="441">
        <f t="shared" ref="H27:H35" si="3">+C27-F27</f>
        <v>1841965</v>
      </c>
      <c r="Q27" s="446">
        <v>1069115.4</v>
      </c>
      <c r="R27" s="447"/>
    </row>
    <row r="28" ht="14.25" customHeight="1">
      <c r="B28" s="449" t="s">
        <v>1250</v>
      </c>
      <c r="C28" s="444">
        <v>940863.0</v>
      </c>
      <c r="D28" s="445"/>
      <c r="E28" s="435"/>
      <c r="F28" s="441">
        <v>0.0</v>
      </c>
      <c r="G28" s="435"/>
      <c r="H28" s="441">
        <f t="shared" si="3"/>
        <v>940863</v>
      </c>
      <c r="Q28" s="446">
        <v>496555.98</v>
      </c>
      <c r="R28" s="447"/>
    </row>
    <row r="29" ht="14.25" customHeight="1">
      <c r="B29" s="449" t="s">
        <v>112</v>
      </c>
      <c r="C29" s="444">
        <v>7377654.0</v>
      </c>
      <c r="D29" s="445"/>
      <c r="E29" s="435"/>
      <c r="F29" s="441">
        <v>0.0</v>
      </c>
      <c r="G29" s="435"/>
      <c r="H29" s="441">
        <f t="shared" si="3"/>
        <v>7377654</v>
      </c>
      <c r="Q29" s="446">
        <v>5392191.0</v>
      </c>
      <c r="R29" s="447"/>
    </row>
    <row r="30" ht="14.25" customHeight="1">
      <c r="B30" s="449" t="s">
        <v>1251</v>
      </c>
      <c r="C30" s="444">
        <v>175760.0</v>
      </c>
      <c r="D30" s="445"/>
      <c r="E30" s="435"/>
      <c r="F30" s="441">
        <v>0.0</v>
      </c>
      <c r="G30" s="435"/>
      <c r="H30" s="441">
        <f t="shared" si="3"/>
        <v>175760</v>
      </c>
      <c r="Q30" s="446">
        <v>173432.18</v>
      </c>
      <c r="R30" s="447"/>
    </row>
    <row r="31" ht="14.25" customHeight="1">
      <c r="B31" s="449" t="s">
        <v>154</v>
      </c>
      <c r="C31" s="444">
        <v>156839.0</v>
      </c>
      <c r="D31" s="445"/>
      <c r="E31" s="435"/>
      <c r="F31" s="441">
        <v>0.0</v>
      </c>
      <c r="G31" s="435"/>
      <c r="H31" s="441">
        <f t="shared" si="3"/>
        <v>156839</v>
      </c>
      <c r="Q31" s="446">
        <v>31594.49</v>
      </c>
      <c r="R31" s="447"/>
    </row>
    <row r="32" ht="14.25" customHeight="1">
      <c r="B32" s="449" t="s">
        <v>1252</v>
      </c>
      <c r="C32" s="444">
        <v>94290.0</v>
      </c>
      <c r="D32" s="445"/>
      <c r="E32" s="435"/>
      <c r="F32" s="441">
        <v>0.0</v>
      </c>
      <c r="G32" s="435"/>
      <c r="H32" s="441">
        <f t="shared" si="3"/>
        <v>94290</v>
      </c>
      <c r="Q32" s="446">
        <v>10050.0</v>
      </c>
      <c r="R32" s="447"/>
    </row>
    <row r="33" ht="14.25" customHeight="1">
      <c r="B33" s="469" t="s">
        <v>1253</v>
      </c>
      <c r="C33" s="444">
        <v>2040562.0</v>
      </c>
      <c r="D33" s="445"/>
      <c r="E33" s="435"/>
      <c r="F33" s="441">
        <v>0.0</v>
      </c>
      <c r="G33" s="435"/>
      <c r="H33" s="441">
        <f t="shared" si="3"/>
        <v>2040562</v>
      </c>
      <c r="Q33" s="446">
        <v>703471.0</v>
      </c>
      <c r="R33" s="447"/>
    </row>
    <row r="34" ht="14.25" customHeight="1">
      <c r="B34" s="449" t="s">
        <v>1254</v>
      </c>
      <c r="C34" s="444">
        <v>628615.0</v>
      </c>
      <c r="D34" s="445"/>
      <c r="E34" s="435"/>
      <c r="F34" s="441">
        <v>0.0</v>
      </c>
      <c r="G34" s="435"/>
      <c r="H34" s="441">
        <f t="shared" si="3"/>
        <v>628615</v>
      </c>
      <c r="Q34" s="446">
        <v>503118.0</v>
      </c>
      <c r="R34" s="447"/>
    </row>
    <row r="35" ht="14.25" customHeight="1">
      <c r="B35" s="449" t="s">
        <v>1255</v>
      </c>
      <c r="C35" s="470">
        <v>196769.0</v>
      </c>
      <c r="D35" s="445"/>
      <c r="E35" s="435"/>
      <c r="F35" s="441">
        <v>0.0</v>
      </c>
      <c r="G35" s="435"/>
      <c r="H35" s="441">
        <f t="shared" si="3"/>
        <v>196769</v>
      </c>
      <c r="Q35" s="446">
        <v>317630.14</v>
      </c>
      <c r="R35" s="447"/>
    </row>
    <row r="36" ht="14.25" customHeight="1">
      <c r="B36" s="464" t="s">
        <v>1256</v>
      </c>
      <c r="C36" s="465"/>
      <c r="D36" s="466">
        <v>1.3453318E7</v>
      </c>
      <c r="E36" s="435"/>
      <c r="F36" s="467">
        <f>SUM(F27:F35)</f>
        <v>0</v>
      </c>
      <c r="G36" s="435"/>
      <c r="H36" s="467">
        <f>+D36-F36</f>
        <v>13453318</v>
      </c>
      <c r="Q36" s="468"/>
      <c r="R36" s="443">
        <v>8697158.19</v>
      </c>
    </row>
    <row r="37" ht="14.25" customHeight="1">
      <c r="B37" s="464"/>
      <c r="C37" s="465"/>
      <c r="D37" s="445"/>
      <c r="E37" s="435"/>
      <c r="F37" s="441"/>
      <c r="G37" s="435"/>
      <c r="H37" s="441"/>
      <c r="Q37" s="468"/>
      <c r="R37" s="447"/>
    </row>
    <row r="38" ht="14.25" customHeight="1">
      <c r="B38" s="461" t="s">
        <v>1257</v>
      </c>
      <c r="C38" s="462"/>
      <c r="D38" s="445"/>
      <c r="E38" s="435"/>
      <c r="F38" s="441"/>
      <c r="G38" s="435"/>
      <c r="H38" s="441"/>
      <c r="Q38" s="463"/>
      <c r="R38" s="447"/>
    </row>
    <row r="39" ht="14.25" customHeight="1">
      <c r="B39" s="449" t="s">
        <v>1258</v>
      </c>
      <c r="C39" s="444">
        <v>4200000.0</v>
      </c>
      <c r="D39" s="445"/>
      <c r="E39" s="435"/>
      <c r="F39" s="441"/>
      <c r="G39" s="435"/>
      <c r="H39" s="441"/>
      <c r="Q39" s="446">
        <v>2100000.0</v>
      </c>
      <c r="R39" s="447"/>
    </row>
    <row r="40" ht="14.25" customHeight="1">
      <c r="B40" s="449" t="s">
        <v>1259</v>
      </c>
      <c r="C40" s="444">
        <v>121864.0</v>
      </c>
      <c r="D40" s="445"/>
      <c r="E40" s="435"/>
      <c r="F40" s="441">
        <v>0.0</v>
      </c>
      <c r="G40" s="435"/>
      <c r="H40" s="441">
        <f t="shared" ref="H40:H41" si="4">+C40-F40</f>
        <v>121864</v>
      </c>
      <c r="Q40" s="446">
        <v>109341.0</v>
      </c>
      <c r="R40" s="447"/>
    </row>
    <row r="41" ht="14.25" customHeight="1">
      <c r="B41" s="449" t="s">
        <v>1260</v>
      </c>
      <c r="C41" s="445">
        <v>0.0</v>
      </c>
      <c r="D41" s="445"/>
      <c r="E41" s="435"/>
      <c r="F41" s="441">
        <v>0.0</v>
      </c>
      <c r="G41" s="435"/>
      <c r="H41" s="441">
        <f t="shared" si="4"/>
        <v>0</v>
      </c>
      <c r="Q41" s="447"/>
      <c r="R41" s="447"/>
    </row>
    <row r="42" ht="14.25" customHeight="1">
      <c r="B42" s="449" t="s">
        <v>162</v>
      </c>
      <c r="C42" s="444">
        <v>1352903.0</v>
      </c>
      <c r="D42" s="445"/>
      <c r="E42" s="435"/>
      <c r="F42" s="441"/>
      <c r="G42" s="435"/>
      <c r="H42" s="441"/>
      <c r="Q42" s="446">
        <v>1186976.0</v>
      </c>
      <c r="R42" s="447"/>
    </row>
    <row r="43" ht="14.25" customHeight="1">
      <c r="B43" s="471" t="s">
        <v>1261</v>
      </c>
      <c r="C43" s="472">
        <v>3130109.0</v>
      </c>
      <c r="D43" s="445"/>
      <c r="E43" s="435"/>
      <c r="F43" s="441">
        <v>0.0</v>
      </c>
      <c r="G43" s="435"/>
      <c r="H43" s="441">
        <f>+C43-F43</f>
        <v>3130109</v>
      </c>
      <c r="Q43" s="473">
        <v>96213.0</v>
      </c>
      <c r="R43" s="447"/>
    </row>
    <row r="44" ht="14.25" customHeight="1">
      <c r="B44" s="471" t="s">
        <v>1262</v>
      </c>
      <c r="C44" s="472">
        <v>1.20495E7</v>
      </c>
      <c r="D44" s="445"/>
      <c r="E44" s="435"/>
      <c r="F44" s="441"/>
      <c r="G44" s="435"/>
      <c r="H44" s="441"/>
      <c r="Q44" s="474"/>
      <c r="R44" s="447"/>
    </row>
    <row r="45" ht="14.25" customHeight="1">
      <c r="B45" s="471" t="s">
        <v>1263</v>
      </c>
      <c r="C45" s="472">
        <v>2239556.0</v>
      </c>
      <c r="D45" s="445"/>
      <c r="E45" s="435"/>
      <c r="F45" s="451"/>
      <c r="G45" s="435"/>
      <c r="H45" s="451"/>
      <c r="Q45" s="474"/>
      <c r="R45" s="447"/>
    </row>
    <row r="46" ht="14.25" customHeight="1">
      <c r="B46" s="449" t="s">
        <v>1264</v>
      </c>
      <c r="C46" s="444">
        <v>750277.0</v>
      </c>
      <c r="D46" s="445"/>
      <c r="E46" s="435"/>
      <c r="F46" s="441"/>
      <c r="G46" s="435"/>
      <c r="H46" s="441"/>
      <c r="Q46" s="446">
        <v>406978.55</v>
      </c>
      <c r="R46" s="447"/>
    </row>
    <row r="47" ht="14.25" customHeight="1">
      <c r="B47" s="449" t="s">
        <v>1265</v>
      </c>
      <c r="C47" s="450">
        <v>45000.0</v>
      </c>
      <c r="D47" s="445"/>
      <c r="E47" s="435"/>
      <c r="F47" s="441"/>
      <c r="G47" s="435"/>
      <c r="H47" s="441"/>
      <c r="Q47" s="452">
        <v>10000.0</v>
      </c>
      <c r="R47" s="447"/>
    </row>
    <row r="48" ht="14.25" customHeight="1">
      <c r="B48" s="464" t="s">
        <v>1266</v>
      </c>
      <c r="C48" s="475"/>
      <c r="D48" s="466">
        <v>2.3889208E7</v>
      </c>
      <c r="E48" s="435"/>
      <c r="F48" s="467">
        <f>SUM(F39:F45)</f>
        <v>0</v>
      </c>
      <c r="G48" s="435"/>
      <c r="H48" s="467">
        <f>SUM(H39:H45)</f>
        <v>3251973</v>
      </c>
      <c r="Q48" s="476"/>
      <c r="R48" s="443">
        <v>3909508.55</v>
      </c>
    </row>
    <row r="49" ht="14.25" customHeight="1">
      <c r="B49" s="464"/>
      <c r="C49" s="465"/>
      <c r="D49" s="448"/>
      <c r="E49" s="435"/>
      <c r="F49" s="467"/>
      <c r="G49" s="435"/>
      <c r="H49" s="467"/>
      <c r="Q49" s="468"/>
      <c r="R49" s="442"/>
    </row>
    <row r="50" ht="14.25" customHeight="1">
      <c r="B50" s="464" t="s">
        <v>1267</v>
      </c>
      <c r="C50" s="465"/>
      <c r="D50" s="455">
        <v>4.5796162E7</v>
      </c>
      <c r="E50" s="435"/>
      <c r="F50" s="456">
        <f>+F48+F36+F24</f>
        <v>0</v>
      </c>
      <c r="G50" s="435"/>
      <c r="H50" s="456">
        <f>+D50-F50</f>
        <v>45796162</v>
      </c>
      <c r="Q50" s="468"/>
      <c r="R50" s="477">
        <v>1.615304704E7</v>
      </c>
      <c r="T50" s="478"/>
    </row>
    <row r="51" ht="14.25" customHeight="1">
      <c r="B51" s="464"/>
      <c r="C51" s="465"/>
      <c r="D51" s="448"/>
      <c r="E51" s="435"/>
      <c r="F51" s="467"/>
      <c r="G51" s="435"/>
      <c r="H51" s="467"/>
      <c r="Q51" s="468"/>
      <c r="R51" s="442"/>
    </row>
    <row r="52" ht="14.25" customHeight="1">
      <c r="B52" s="464" t="s">
        <v>1268</v>
      </c>
      <c r="C52" s="465"/>
      <c r="D52" s="466">
        <v>4816824.0</v>
      </c>
      <c r="E52" s="435"/>
      <c r="F52" s="467">
        <f>+F17-F24-F36-F48</f>
        <v>0</v>
      </c>
      <c r="G52" s="435"/>
      <c r="H52" s="467">
        <f>+D52-F52</f>
        <v>4816824</v>
      </c>
      <c r="Q52" s="468"/>
      <c r="R52" s="479">
        <f>-(6095340.04)</f>
        <v>-6095340.04</v>
      </c>
    </row>
    <row r="53" ht="14.25" customHeight="1">
      <c r="B53" s="439"/>
      <c r="C53" s="448"/>
      <c r="D53" s="445"/>
      <c r="E53" s="435"/>
      <c r="F53" s="441"/>
      <c r="G53" s="435"/>
      <c r="H53" s="441"/>
      <c r="Q53" s="442"/>
      <c r="R53" s="447"/>
    </row>
    <row r="54" ht="14.25" customHeight="1">
      <c r="B54" s="480" t="s">
        <v>1269</v>
      </c>
      <c r="C54" s="481"/>
      <c r="D54" s="482">
        <f>C55+C56</f>
        <v>1718503</v>
      </c>
      <c r="E54" s="435"/>
      <c r="F54" s="483">
        <f>+F6+F17-F50</f>
        <v>0</v>
      </c>
      <c r="G54" s="435"/>
      <c r="H54" s="483">
        <f>+D54-F54</f>
        <v>1718503</v>
      </c>
      <c r="Q54" s="484"/>
      <c r="R54" s="482">
        <f>Q55+Q56+Q57</f>
        <v>873163</v>
      </c>
      <c r="S54" s="485"/>
    </row>
    <row r="55" ht="14.25" customHeight="1">
      <c r="B55" s="480" t="s">
        <v>1232</v>
      </c>
      <c r="C55" s="486">
        <v>1705636.0</v>
      </c>
      <c r="D55" s="487"/>
      <c r="E55" s="435"/>
      <c r="F55" s="441"/>
      <c r="G55" s="435"/>
      <c r="H55" s="441"/>
      <c r="Q55" s="488">
        <v>203512.0</v>
      </c>
      <c r="R55" s="447"/>
      <c r="S55" s="485"/>
    </row>
    <row r="56" ht="14.25" customHeight="1">
      <c r="B56" s="480" t="s">
        <v>1233</v>
      </c>
      <c r="C56" s="486">
        <v>12867.0</v>
      </c>
      <c r="D56" s="487"/>
      <c r="E56" s="435"/>
      <c r="F56" s="441"/>
      <c r="G56" s="435"/>
      <c r="H56" s="441"/>
      <c r="Q56" s="488">
        <v>9448.0</v>
      </c>
      <c r="R56" s="447"/>
      <c r="S56" s="485"/>
    </row>
    <row r="57" ht="14.25" customHeight="1">
      <c r="B57" s="439" t="s">
        <v>1270</v>
      </c>
      <c r="C57" s="444">
        <v>5250000.0</v>
      </c>
      <c r="D57" s="487"/>
      <c r="E57" s="435"/>
      <c r="F57" s="441"/>
      <c r="G57" s="435"/>
      <c r="H57" s="441"/>
      <c r="Q57" s="488">
        <v>660203.0</v>
      </c>
      <c r="R57" s="447"/>
    </row>
    <row r="58" ht="14.25" customHeight="1">
      <c r="B58" s="439" t="s">
        <v>1271</v>
      </c>
      <c r="C58" s="444">
        <v>1791000.0</v>
      </c>
      <c r="D58" s="487"/>
      <c r="E58" s="435"/>
      <c r="F58" s="441"/>
      <c r="G58" s="435"/>
      <c r="H58" s="441"/>
      <c r="Q58" s="446">
        <v>1791000.0</v>
      </c>
      <c r="R58" s="447"/>
    </row>
    <row r="59" ht="14.25" customHeight="1">
      <c r="B59" s="439" t="s">
        <v>1238</v>
      </c>
      <c r="C59" s="444">
        <v>2500000.0</v>
      </c>
      <c r="D59" s="489"/>
      <c r="E59" s="435"/>
      <c r="F59" s="441"/>
      <c r="G59" s="435"/>
      <c r="H59" s="441"/>
      <c r="Q59" s="490">
        <v>0.0</v>
      </c>
      <c r="R59" s="447"/>
    </row>
    <row r="60" ht="14.25" customHeight="1">
      <c r="B60" s="491" t="s">
        <v>1272</v>
      </c>
      <c r="C60" s="492">
        <f>SUM(C55:C59)</f>
        <v>11259503</v>
      </c>
      <c r="D60" s="493"/>
      <c r="E60" s="435"/>
      <c r="F60" s="441"/>
      <c r="G60" s="435"/>
      <c r="H60" s="441"/>
      <c r="Q60" s="494">
        <f>SUM(Q55:Q59)</f>
        <v>2664163</v>
      </c>
      <c r="R60" s="495"/>
    </row>
    <row r="61" ht="14.25" customHeight="1">
      <c r="D61" s="467"/>
      <c r="E61" s="435"/>
      <c r="F61" s="441"/>
      <c r="G61" s="435"/>
      <c r="H61" s="441"/>
      <c r="Q61" s="496"/>
      <c r="R61" s="497"/>
    </row>
    <row r="62" ht="14.25" customHeight="1">
      <c r="D62" s="467"/>
      <c r="E62" s="435"/>
      <c r="F62" s="441"/>
      <c r="G62" s="435"/>
      <c r="H62" s="441"/>
      <c r="Q62" s="496"/>
      <c r="R62" s="497"/>
    </row>
    <row r="63" ht="15.0" hidden="1" customHeight="1">
      <c r="B63" s="19" t="s">
        <v>1273</v>
      </c>
      <c r="C63" s="485">
        <f>C55+C56+C57+C58</f>
        <v>8759503</v>
      </c>
      <c r="D63" s="441"/>
      <c r="E63" s="435"/>
      <c r="F63" s="441"/>
      <c r="G63" s="435"/>
      <c r="H63" s="441"/>
      <c r="Q63" s="496" t="s">
        <v>1274</v>
      </c>
      <c r="R63" s="496"/>
    </row>
    <row r="64" ht="15.0" hidden="1" customHeight="1">
      <c r="B64" s="19" t="s">
        <v>1275</v>
      </c>
      <c r="C64" s="485">
        <f>D54-C63</f>
        <v>-7041000</v>
      </c>
      <c r="D64" s="441"/>
      <c r="E64" s="435"/>
      <c r="F64" s="441"/>
      <c r="G64" s="435"/>
      <c r="H64" s="441"/>
      <c r="Q64" s="496" t="s">
        <v>1274</v>
      </c>
      <c r="R64" s="496"/>
    </row>
    <row r="65" ht="15.0" hidden="1" customHeight="1">
      <c r="C65" s="485"/>
      <c r="D65" s="441"/>
      <c r="E65" s="435"/>
      <c r="F65" s="441"/>
      <c r="G65" s="435"/>
      <c r="H65" s="441"/>
      <c r="Q65" s="496"/>
      <c r="R65" s="496"/>
    </row>
    <row r="66" ht="15.0" hidden="1" customHeight="1">
      <c r="B66" s="19" t="s">
        <v>1276</v>
      </c>
      <c r="C66" s="485">
        <f>C21+C22+C27+C28+C29+C30+C31+C32+C33+C34+C35</f>
        <v>21856319</v>
      </c>
      <c r="D66" s="441"/>
      <c r="E66" s="435"/>
      <c r="F66" s="441"/>
      <c r="G66" s="435"/>
      <c r="H66" s="441"/>
      <c r="Q66" s="496" t="s">
        <v>1274</v>
      </c>
      <c r="R66" s="496"/>
    </row>
    <row r="67" ht="15.0" hidden="1" customHeight="1">
      <c r="B67" s="19" t="s">
        <v>1277</v>
      </c>
      <c r="C67" s="485">
        <f>C40+C42+C43+C46+C47</f>
        <v>5400153</v>
      </c>
      <c r="D67" s="441"/>
      <c r="E67" s="435"/>
      <c r="F67" s="441"/>
      <c r="G67" s="435"/>
      <c r="H67" s="441"/>
      <c r="Q67" s="496" t="s">
        <v>1274</v>
      </c>
      <c r="R67" s="496"/>
    </row>
    <row r="68" ht="15.0" hidden="1" customHeight="1">
      <c r="C68" s="498">
        <f>SUM(C66:C67)</f>
        <v>27256472</v>
      </c>
      <c r="D68" s="441"/>
      <c r="E68" s="435"/>
      <c r="F68" s="441"/>
      <c r="G68" s="435"/>
      <c r="H68" s="441"/>
      <c r="Q68" s="497" t="s">
        <v>1274</v>
      </c>
      <c r="R68" s="496"/>
    </row>
    <row r="69" ht="15.0" hidden="1" customHeight="1">
      <c r="B69" s="19" t="s">
        <v>1278</v>
      </c>
      <c r="C69" s="485">
        <f>C13+C15+C16</f>
        <v>13112986</v>
      </c>
      <c r="D69" s="441"/>
      <c r="E69" s="435"/>
      <c r="F69" s="441"/>
      <c r="G69" s="435"/>
      <c r="H69" s="441"/>
      <c r="Q69" s="496" t="s">
        <v>1274</v>
      </c>
      <c r="R69" s="496"/>
    </row>
    <row r="70" ht="15.0" hidden="1" customHeight="1">
      <c r="C70" s="498">
        <f>C68-C69</f>
        <v>14143486</v>
      </c>
      <c r="D70" s="441"/>
      <c r="E70" s="435"/>
      <c r="F70" s="441"/>
      <c r="G70" s="435"/>
      <c r="H70" s="441"/>
      <c r="Q70" s="497" t="s">
        <v>1274</v>
      </c>
      <c r="R70" s="496"/>
    </row>
    <row r="71" ht="15.0" hidden="1" customHeight="1">
      <c r="C71" s="485"/>
      <c r="D71" s="441"/>
      <c r="E71" s="435"/>
      <c r="F71" s="441"/>
      <c r="G71" s="435"/>
      <c r="H71" s="441"/>
      <c r="Q71" s="496"/>
      <c r="R71" s="496"/>
    </row>
    <row r="72" ht="15.0" hidden="1" customHeight="1">
      <c r="D72" s="441"/>
      <c r="E72" s="435"/>
      <c r="F72" s="441"/>
      <c r="G72" s="435"/>
      <c r="H72" s="441"/>
      <c r="Q72" s="496"/>
      <c r="R72" s="496"/>
    </row>
    <row r="73" ht="15.0" hidden="1" customHeight="1">
      <c r="B73" s="499" t="s">
        <v>1279</v>
      </c>
      <c r="C73" s="500">
        <f>C12-C79</f>
        <v>11678444</v>
      </c>
      <c r="D73" s="441"/>
      <c r="E73" s="435"/>
      <c r="F73" s="441"/>
      <c r="G73" s="435"/>
      <c r="H73" s="441"/>
      <c r="Q73" s="501">
        <v>-7041000.0</v>
      </c>
      <c r="R73" s="496"/>
    </row>
    <row r="74" ht="15.0" hidden="1" customHeight="1">
      <c r="B74" s="52" t="s">
        <v>1280</v>
      </c>
      <c r="C74" s="502"/>
      <c r="D74" s="441"/>
      <c r="E74" s="435"/>
      <c r="F74" s="441"/>
      <c r="G74" s="435"/>
      <c r="H74" s="441"/>
      <c r="Q74" s="496"/>
      <c r="R74" s="496"/>
    </row>
    <row r="75" ht="15.0" hidden="1" customHeight="1">
      <c r="B75" s="52" t="s">
        <v>1281</v>
      </c>
      <c r="C75" s="502"/>
      <c r="D75" s="441"/>
      <c r="E75" s="435"/>
      <c r="F75" s="441"/>
      <c r="G75" s="435"/>
      <c r="H75" s="441"/>
      <c r="Q75" s="496"/>
      <c r="R75" s="496"/>
    </row>
    <row r="76" ht="15.0" hidden="1" customHeight="1">
      <c r="B76" s="52"/>
      <c r="C76" s="502"/>
      <c r="D76" s="441"/>
      <c r="E76" s="435"/>
      <c r="F76" s="441"/>
      <c r="G76" s="435"/>
      <c r="H76" s="441"/>
      <c r="Q76" s="496"/>
      <c r="R76" s="496"/>
    </row>
    <row r="77" ht="15.0" hidden="1" customHeight="1">
      <c r="B77" s="52"/>
      <c r="C77" s="502"/>
      <c r="D77" s="441"/>
      <c r="E77" s="435"/>
      <c r="F77" s="441"/>
      <c r="G77" s="435"/>
      <c r="H77" s="441"/>
      <c r="Q77" s="496"/>
      <c r="R77" s="496"/>
    </row>
    <row r="78" ht="15.0" hidden="1" customHeight="1">
      <c r="B78" s="52"/>
      <c r="C78" s="502"/>
      <c r="D78" s="441"/>
      <c r="E78" s="435"/>
      <c r="F78" s="441"/>
      <c r="G78" s="435"/>
      <c r="H78" s="441"/>
      <c r="Q78" s="496"/>
      <c r="R78" s="496"/>
    </row>
    <row r="79" ht="15.0" hidden="1" customHeight="1">
      <c r="B79" s="503" t="s">
        <v>1282</v>
      </c>
      <c r="C79" s="504">
        <f>SUM(C80:C84)</f>
        <v>16321556</v>
      </c>
      <c r="D79" s="441"/>
      <c r="E79" s="435"/>
      <c r="F79" s="441"/>
      <c r="G79" s="435"/>
      <c r="H79" s="441"/>
      <c r="Q79" s="505">
        <v>7041000.0</v>
      </c>
      <c r="R79" s="496"/>
    </row>
    <row r="80" ht="15.0" hidden="1" customHeight="1">
      <c r="B80" s="19" t="s">
        <v>1283</v>
      </c>
      <c r="C80" s="485">
        <f>(5250000+C57)+1791000</f>
        <v>12291000</v>
      </c>
      <c r="D80" s="441"/>
      <c r="E80" s="435"/>
      <c r="F80" s="441"/>
      <c r="G80" s="435"/>
      <c r="H80" s="441"/>
      <c r="Q80" s="506">
        <v>7041000.0</v>
      </c>
      <c r="R80" s="496"/>
    </row>
    <row r="81" ht="15.0" hidden="1" customHeight="1">
      <c r="B81" s="19" t="s">
        <v>1238</v>
      </c>
      <c r="C81" s="485">
        <f>C58</f>
        <v>1791000</v>
      </c>
      <c r="D81" s="441"/>
      <c r="E81" s="435"/>
      <c r="F81" s="441"/>
      <c r="G81" s="435"/>
      <c r="H81" s="441"/>
      <c r="Q81" s="496" t="s">
        <v>1274</v>
      </c>
      <c r="R81" s="496"/>
    </row>
    <row r="82" ht="15.0" hidden="1" customHeight="1">
      <c r="B82" s="19" t="s">
        <v>1284</v>
      </c>
      <c r="C82" s="168">
        <f>C45</f>
        <v>2239556</v>
      </c>
      <c r="D82" s="441"/>
      <c r="E82" s="435"/>
      <c r="F82" s="441"/>
      <c r="G82" s="435"/>
      <c r="H82" s="441"/>
      <c r="Q82" s="496" t="s">
        <v>1274</v>
      </c>
      <c r="R82" s="496"/>
    </row>
    <row r="83" ht="15.0" hidden="1" customHeight="1">
      <c r="D83" s="441"/>
      <c r="E83" s="435"/>
      <c r="F83" s="441"/>
      <c r="G83" s="441"/>
      <c r="H83" s="441"/>
      <c r="Q83" s="1"/>
      <c r="R83" s="1"/>
    </row>
    <row r="84" ht="15.0" hidden="1" customHeight="1">
      <c r="D84" s="441"/>
      <c r="E84" s="435"/>
      <c r="F84" s="441"/>
      <c r="G84" s="441"/>
      <c r="H84" s="441"/>
      <c r="Q84" s="1"/>
      <c r="R84" s="1"/>
    </row>
    <row r="85" ht="14.25" customHeight="1">
      <c r="B85" s="507"/>
      <c r="D85" s="441"/>
      <c r="E85" s="435"/>
      <c r="F85" s="441"/>
      <c r="G85" s="441"/>
      <c r="H85" s="441"/>
      <c r="Q85" s="1"/>
      <c r="R85" s="1"/>
    </row>
    <row r="86" ht="14.25" customHeight="1">
      <c r="B86" s="508" t="s">
        <v>1285</v>
      </c>
      <c r="C86" s="509"/>
      <c r="D86" s="509"/>
      <c r="E86" s="510"/>
      <c r="F86" s="509"/>
      <c r="G86" s="509"/>
      <c r="H86" s="509"/>
      <c r="I86" s="509"/>
      <c r="J86" s="509"/>
      <c r="K86" s="509"/>
      <c r="L86" s="509"/>
      <c r="M86" s="509"/>
      <c r="N86" s="509"/>
      <c r="O86" s="509"/>
      <c r="P86" s="509"/>
      <c r="Q86" s="13"/>
      <c r="R86" s="1"/>
    </row>
    <row r="87" ht="14.25" customHeight="1">
      <c r="B87" s="511" t="s">
        <v>1286</v>
      </c>
      <c r="C87" s="509"/>
      <c r="D87" s="509"/>
      <c r="E87" s="510"/>
      <c r="F87" s="509"/>
      <c r="G87" s="509"/>
      <c r="H87" s="509"/>
      <c r="I87" s="509"/>
      <c r="J87" s="509"/>
      <c r="K87" s="509"/>
      <c r="L87" s="509"/>
      <c r="M87" s="509"/>
      <c r="N87" s="509"/>
      <c r="O87" s="509"/>
      <c r="P87" s="509"/>
      <c r="Q87" s="512">
        <f>'Cashflow Projection'!C13+'Cashflow Projection'!D13+'Cashflow Projection'!E13+'Cashflow Projection'!F13+'Cashflow Projection'!G13+'Cashflow Projection'!H13</f>
        <v>1311055</v>
      </c>
      <c r="R87" s="1"/>
    </row>
    <row r="88" ht="14.25" customHeight="1">
      <c r="B88" s="511" t="s">
        <v>17</v>
      </c>
      <c r="C88" s="509"/>
      <c r="D88" s="509"/>
      <c r="E88" s="510"/>
      <c r="F88" s="509"/>
      <c r="G88" s="509"/>
      <c r="H88" s="509"/>
      <c r="I88" s="509"/>
      <c r="J88" s="509"/>
      <c r="K88" s="509"/>
      <c r="L88" s="509"/>
      <c r="M88" s="509"/>
      <c r="N88" s="509"/>
      <c r="O88" s="509"/>
      <c r="P88" s="509"/>
      <c r="Q88" s="512">
        <f>'Cashflow Projection'!C12+'Cashflow Projection'!D12+'Cashflow Projection'!E12+'Cashflow Projection'!F12+'Cashflow Projection'!G12+'Cashflow Projection'!H12</f>
        <v>0</v>
      </c>
      <c r="R88" s="1"/>
    </row>
    <row r="89" ht="14.25" customHeight="1">
      <c r="B89" s="511" t="s">
        <v>1277</v>
      </c>
      <c r="C89" s="509"/>
      <c r="D89" s="509"/>
      <c r="E89" s="510"/>
      <c r="F89" s="509"/>
      <c r="G89" s="509"/>
      <c r="H89" s="509"/>
      <c r="I89" s="509"/>
      <c r="J89" s="509"/>
      <c r="K89" s="509"/>
      <c r="L89" s="509"/>
      <c r="M89" s="509"/>
      <c r="N89" s="509"/>
      <c r="O89" s="509"/>
      <c r="P89" s="509"/>
      <c r="Q89" s="512">
        <f>Q90-Q87-Q88</f>
        <v>14841992.04</v>
      </c>
      <c r="R89" s="1"/>
    </row>
    <row r="90" ht="14.25" customHeight="1">
      <c r="B90" s="509"/>
      <c r="C90" s="509"/>
      <c r="D90" s="509"/>
      <c r="E90" s="510"/>
      <c r="F90" s="509"/>
      <c r="G90" s="509"/>
      <c r="H90" s="509"/>
      <c r="I90" s="509"/>
      <c r="J90" s="509"/>
      <c r="K90" s="509"/>
      <c r="L90" s="509"/>
      <c r="M90" s="509"/>
      <c r="N90" s="509"/>
      <c r="O90" s="509"/>
      <c r="P90" s="509"/>
      <c r="Q90" s="513">
        <f>R50</f>
        <v>16153047.04</v>
      </c>
      <c r="R90" s="1"/>
    </row>
    <row r="91" ht="14.25" customHeight="1">
      <c r="E91" s="435"/>
      <c r="Q91" s="1"/>
      <c r="R91" s="1"/>
    </row>
    <row r="92" ht="14.25" customHeight="1">
      <c r="Q92" s="1"/>
      <c r="R92" s="1"/>
    </row>
    <row r="93" ht="14.25" customHeight="1">
      <c r="D93" s="441"/>
      <c r="E93" s="441"/>
      <c r="F93" s="441"/>
      <c r="G93" s="441"/>
      <c r="H93" s="441"/>
      <c r="Q93" s="1"/>
      <c r="R93" s="1"/>
    </row>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4:B5"/>
    <mergeCell ref="C4:D4"/>
    <mergeCell ref="Q4:R4"/>
    <mergeCell ref="C5:D5"/>
    <mergeCell ref="Q5:R5"/>
  </mergeCells>
  <printOptions/>
  <pageMargins bottom="0.11811023622047245" footer="0.0" header="0.0" left="0.3937007874015748" right="0.07874015748031496" top="0.984251968503937"/>
  <pageSetup paperSize="9" scale="80"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 width="25.25"/>
    <col customWidth="1" min="3" max="3" width="20.38"/>
    <col customWidth="1" min="4" max="4" width="25.63"/>
    <col customWidth="1" min="5" max="5" width="15.25"/>
    <col customWidth="1" min="6" max="6" width="31.5"/>
    <col customWidth="1" min="7" max="8" width="9.0"/>
    <col customWidth="1" min="9" max="11" width="10.0"/>
    <col customWidth="1" min="12" max="26" width="9.0"/>
  </cols>
  <sheetData>
    <row r="1" ht="14.25" customHeight="1">
      <c r="A1" s="514" t="s">
        <v>1287</v>
      </c>
      <c r="B1" s="515"/>
      <c r="C1" s="515"/>
      <c r="D1" s="515"/>
      <c r="E1" s="515"/>
      <c r="F1" s="169"/>
      <c r="G1" s="169"/>
      <c r="H1" s="169"/>
      <c r="I1" s="169"/>
      <c r="J1" s="169"/>
      <c r="K1" s="169"/>
      <c r="L1" s="169"/>
      <c r="M1" s="169"/>
      <c r="N1" s="169"/>
      <c r="O1" s="169"/>
      <c r="P1" s="169"/>
      <c r="Q1" s="169"/>
      <c r="R1" s="169"/>
      <c r="S1" s="169"/>
      <c r="T1" s="169"/>
      <c r="U1" s="169"/>
      <c r="V1" s="169"/>
      <c r="W1" s="169"/>
      <c r="X1" s="169"/>
      <c r="Y1" s="169"/>
      <c r="Z1" s="169"/>
    </row>
    <row r="2" ht="14.25" customHeight="1">
      <c r="A2" s="516" t="s">
        <v>1288</v>
      </c>
      <c r="B2" s="517" t="s">
        <v>1289</v>
      </c>
      <c r="C2" s="518" t="s">
        <v>1290</v>
      </c>
      <c r="D2" s="519" t="s">
        <v>1291</v>
      </c>
      <c r="E2" s="517" t="s">
        <v>1292</v>
      </c>
      <c r="F2" s="169"/>
      <c r="G2" s="169"/>
      <c r="H2" s="169"/>
      <c r="I2" s="169"/>
      <c r="J2" s="169"/>
      <c r="K2" s="169"/>
      <c r="L2" s="169"/>
      <c r="M2" s="169"/>
      <c r="N2" s="169"/>
      <c r="O2" s="169"/>
      <c r="P2" s="169"/>
      <c r="Q2" s="169"/>
      <c r="R2" s="169"/>
      <c r="S2" s="169"/>
      <c r="T2" s="169"/>
      <c r="U2" s="169"/>
      <c r="V2" s="169"/>
      <c r="W2" s="169"/>
      <c r="X2" s="169"/>
      <c r="Y2" s="169"/>
      <c r="Z2" s="169"/>
    </row>
    <row r="3" ht="14.25" customHeight="1">
      <c r="A3" s="520"/>
      <c r="B3" s="520"/>
      <c r="C3" s="521"/>
      <c r="D3" s="521"/>
      <c r="E3" s="520"/>
      <c r="F3" s="169"/>
      <c r="G3" s="169"/>
      <c r="H3" s="169"/>
      <c r="I3" s="169"/>
      <c r="J3" s="169"/>
      <c r="K3" s="169"/>
      <c r="L3" s="169"/>
      <c r="M3" s="169"/>
      <c r="N3" s="169"/>
      <c r="O3" s="169"/>
      <c r="P3" s="169"/>
      <c r="Q3" s="169"/>
      <c r="R3" s="169"/>
      <c r="S3" s="169"/>
      <c r="T3" s="169"/>
      <c r="U3" s="169"/>
      <c r="V3" s="169"/>
      <c r="W3" s="169"/>
      <c r="X3" s="169"/>
      <c r="Y3" s="169"/>
      <c r="Z3" s="169"/>
    </row>
    <row r="4" ht="14.25" customHeight="1">
      <c r="A4" s="522">
        <v>1.0</v>
      </c>
      <c r="B4" s="523"/>
      <c r="C4" s="523" t="s">
        <v>1293</v>
      </c>
      <c r="D4" s="524"/>
      <c r="E4" s="525">
        <v>29000.0</v>
      </c>
      <c r="F4" s="169"/>
      <c r="G4" s="169"/>
      <c r="H4" s="169"/>
      <c r="I4" s="169"/>
      <c r="J4" s="169"/>
      <c r="K4" s="169"/>
      <c r="L4" s="169"/>
      <c r="M4" s="169"/>
      <c r="N4" s="169"/>
      <c r="O4" s="169"/>
      <c r="P4" s="169"/>
      <c r="Q4" s="169"/>
      <c r="R4" s="169"/>
      <c r="S4" s="169"/>
      <c r="T4" s="169"/>
      <c r="U4" s="169"/>
      <c r="V4" s="169"/>
      <c r="W4" s="169"/>
      <c r="X4" s="169"/>
      <c r="Y4" s="169"/>
      <c r="Z4" s="169"/>
    </row>
    <row r="5" ht="14.25" customHeight="1">
      <c r="A5" s="522">
        <f t="shared" ref="A5:A21" si="1">A4+1</f>
        <v>2</v>
      </c>
      <c r="B5" s="526"/>
      <c r="C5" s="526" t="s">
        <v>1294</v>
      </c>
      <c r="D5" s="524"/>
      <c r="E5" s="525">
        <v>20000.0</v>
      </c>
      <c r="F5" s="169"/>
      <c r="G5" s="169"/>
      <c r="H5" s="169"/>
      <c r="I5" s="169"/>
      <c r="J5" s="169"/>
      <c r="K5" s="169"/>
      <c r="L5" s="169"/>
      <c r="M5" s="169"/>
      <c r="N5" s="169"/>
      <c r="O5" s="169"/>
      <c r="P5" s="169"/>
      <c r="Q5" s="169"/>
      <c r="R5" s="169"/>
      <c r="S5" s="169"/>
      <c r="T5" s="169"/>
      <c r="U5" s="169"/>
      <c r="V5" s="169"/>
      <c r="W5" s="169"/>
      <c r="X5" s="169"/>
      <c r="Y5" s="169"/>
      <c r="Z5" s="169"/>
    </row>
    <row r="6" ht="14.25" customHeight="1">
      <c r="A6" s="522">
        <f t="shared" si="1"/>
        <v>3</v>
      </c>
      <c r="B6" s="526"/>
      <c r="C6" s="526" t="s">
        <v>1295</v>
      </c>
      <c r="D6" s="524"/>
      <c r="E6" s="525">
        <v>21005.0</v>
      </c>
      <c r="F6" s="169"/>
      <c r="G6" s="169"/>
      <c r="H6" s="169"/>
      <c r="I6" s="169"/>
      <c r="J6" s="169"/>
      <c r="K6" s="169"/>
      <c r="L6" s="169"/>
      <c r="M6" s="169"/>
      <c r="N6" s="169"/>
      <c r="O6" s="169"/>
      <c r="P6" s="169"/>
      <c r="Q6" s="169"/>
      <c r="R6" s="169"/>
      <c r="S6" s="169"/>
      <c r="T6" s="169"/>
      <c r="U6" s="169"/>
      <c r="V6" s="169"/>
      <c r="W6" s="169"/>
      <c r="X6" s="169"/>
      <c r="Y6" s="169"/>
      <c r="Z6" s="169"/>
    </row>
    <row r="7" ht="14.25" customHeight="1">
      <c r="A7" s="522">
        <f t="shared" si="1"/>
        <v>4</v>
      </c>
      <c r="B7" s="526"/>
      <c r="C7" s="526" t="s">
        <v>1296</v>
      </c>
      <c r="D7" s="524"/>
      <c r="E7" s="525">
        <v>18000.0</v>
      </c>
      <c r="F7" s="169"/>
      <c r="G7" s="169"/>
      <c r="H7" s="169"/>
      <c r="I7" s="169"/>
      <c r="J7" s="169"/>
      <c r="K7" s="169"/>
      <c r="L7" s="169"/>
      <c r="M7" s="169"/>
      <c r="N7" s="169"/>
      <c r="O7" s="169"/>
      <c r="P7" s="169"/>
      <c r="Q7" s="169"/>
      <c r="R7" s="169"/>
      <c r="S7" s="169"/>
      <c r="T7" s="169"/>
      <c r="U7" s="169"/>
      <c r="V7" s="169"/>
      <c r="W7" s="169"/>
      <c r="X7" s="169"/>
      <c r="Y7" s="169"/>
      <c r="Z7" s="169"/>
    </row>
    <row r="8" ht="14.25" customHeight="1">
      <c r="A8" s="522">
        <f t="shared" si="1"/>
        <v>5</v>
      </c>
      <c r="B8" s="526"/>
      <c r="C8" s="526" t="s">
        <v>1297</v>
      </c>
      <c r="D8" s="524"/>
      <c r="E8" s="525">
        <v>15500.0</v>
      </c>
      <c r="F8" s="169"/>
      <c r="G8" s="11"/>
      <c r="H8" s="169"/>
      <c r="I8" s="169"/>
      <c r="J8" s="169"/>
      <c r="K8" s="169"/>
      <c r="L8" s="169"/>
      <c r="M8" s="169"/>
      <c r="N8" s="169"/>
      <c r="O8" s="169"/>
      <c r="P8" s="169"/>
      <c r="Q8" s="169"/>
      <c r="R8" s="169"/>
      <c r="S8" s="169"/>
      <c r="T8" s="169"/>
      <c r="U8" s="169"/>
      <c r="V8" s="169"/>
      <c r="W8" s="169"/>
      <c r="X8" s="169"/>
      <c r="Y8" s="169"/>
      <c r="Z8" s="169"/>
    </row>
    <row r="9" ht="14.25" customHeight="1">
      <c r="A9" s="522">
        <f t="shared" si="1"/>
        <v>6</v>
      </c>
      <c r="B9" s="526"/>
      <c r="C9" s="526" t="s">
        <v>1298</v>
      </c>
      <c r="D9" s="524"/>
      <c r="E9" s="525">
        <v>13000.0</v>
      </c>
      <c r="F9" s="169"/>
      <c r="G9" s="169"/>
      <c r="H9" s="169"/>
      <c r="I9" s="169"/>
      <c r="J9" s="169"/>
      <c r="K9" s="169"/>
      <c r="L9" s="169"/>
      <c r="M9" s="169"/>
      <c r="N9" s="169"/>
      <c r="O9" s="169"/>
      <c r="P9" s="169"/>
      <c r="Q9" s="169"/>
      <c r="R9" s="169"/>
      <c r="S9" s="169"/>
      <c r="T9" s="169"/>
      <c r="U9" s="169"/>
      <c r="V9" s="169"/>
      <c r="W9" s="169"/>
      <c r="X9" s="169"/>
      <c r="Y9" s="169"/>
      <c r="Z9" s="169"/>
    </row>
    <row r="10" ht="14.25" customHeight="1">
      <c r="A10" s="522">
        <f t="shared" si="1"/>
        <v>7</v>
      </c>
      <c r="B10" s="526"/>
      <c r="C10" s="526" t="s">
        <v>1299</v>
      </c>
      <c r="D10" s="524"/>
      <c r="E10" s="525">
        <v>19154.0</v>
      </c>
      <c r="F10" s="169"/>
      <c r="G10" s="169"/>
      <c r="H10" s="169"/>
      <c r="I10" s="169"/>
      <c r="J10" s="169"/>
      <c r="K10" s="169"/>
      <c r="L10" s="169"/>
      <c r="M10" s="169"/>
      <c r="N10" s="169"/>
      <c r="O10" s="169"/>
      <c r="P10" s="169"/>
      <c r="Q10" s="169"/>
      <c r="R10" s="169"/>
      <c r="S10" s="169"/>
      <c r="T10" s="169"/>
      <c r="U10" s="169"/>
      <c r="V10" s="169"/>
      <c r="W10" s="169"/>
      <c r="X10" s="169"/>
      <c r="Y10" s="169"/>
      <c r="Z10" s="169"/>
    </row>
    <row r="11" ht="14.25" customHeight="1">
      <c r="A11" s="522">
        <f t="shared" si="1"/>
        <v>8</v>
      </c>
      <c r="B11" s="526"/>
      <c r="C11" s="526" t="s">
        <v>1300</v>
      </c>
      <c r="D11" s="524"/>
      <c r="E11" s="525">
        <v>23000.0</v>
      </c>
      <c r="F11" s="169"/>
      <c r="G11" s="169"/>
      <c r="H11" s="169"/>
      <c r="I11" s="169"/>
      <c r="J11" s="169"/>
      <c r="K11" s="169"/>
      <c r="L11" s="169"/>
      <c r="M11" s="169"/>
      <c r="N11" s="169"/>
      <c r="O11" s="169"/>
      <c r="P11" s="169"/>
      <c r="Q11" s="169"/>
      <c r="R11" s="169"/>
      <c r="S11" s="169"/>
      <c r="T11" s="169"/>
      <c r="U11" s="169"/>
      <c r="V11" s="169"/>
      <c r="W11" s="169"/>
      <c r="X11" s="169"/>
      <c r="Y11" s="169"/>
      <c r="Z11" s="169"/>
    </row>
    <row r="12" ht="14.25" customHeight="1">
      <c r="A12" s="522">
        <f t="shared" si="1"/>
        <v>9</v>
      </c>
      <c r="B12" s="526"/>
      <c r="C12" s="526" t="s">
        <v>1301</v>
      </c>
      <c r="D12" s="524"/>
      <c r="E12" s="525">
        <v>12000.0</v>
      </c>
      <c r="F12" s="169"/>
      <c r="G12" s="169"/>
      <c r="H12" s="169"/>
      <c r="I12" s="169"/>
      <c r="J12" s="169"/>
      <c r="K12" s="169"/>
      <c r="L12" s="169"/>
      <c r="M12" s="169"/>
      <c r="N12" s="169"/>
      <c r="O12" s="169"/>
      <c r="P12" s="169"/>
      <c r="Q12" s="169"/>
      <c r="R12" s="169"/>
      <c r="S12" s="169"/>
      <c r="T12" s="169"/>
      <c r="U12" s="169"/>
      <c r="V12" s="169"/>
      <c r="W12" s="169"/>
      <c r="X12" s="169"/>
      <c r="Y12" s="169"/>
      <c r="Z12" s="169"/>
    </row>
    <row r="13" ht="14.25" customHeight="1">
      <c r="A13" s="522">
        <f t="shared" si="1"/>
        <v>10</v>
      </c>
      <c r="B13" s="526"/>
      <c r="C13" s="526" t="s">
        <v>1302</v>
      </c>
      <c r="D13" s="524"/>
      <c r="E13" s="525">
        <v>17000.0</v>
      </c>
      <c r="F13" s="169"/>
      <c r="G13" s="169"/>
      <c r="H13" s="169"/>
      <c r="I13" s="169"/>
      <c r="J13" s="169"/>
      <c r="K13" s="169"/>
      <c r="L13" s="169"/>
      <c r="M13" s="169"/>
      <c r="N13" s="169"/>
      <c r="O13" s="169"/>
      <c r="P13" s="169"/>
      <c r="Q13" s="169"/>
      <c r="R13" s="169"/>
      <c r="S13" s="169"/>
      <c r="T13" s="169"/>
      <c r="U13" s="169"/>
      <c r="V13" s="169"/>
      <c r="W13" s="169"/>
      <c r="X13" s="169"/>
      <c r="Y13" s="169"/>
      <c r="Z13" s="169"/>
    </row>
    <row r="14" ht="14.25" customHeight="1">
      <c r="A14" s="522">
        <f t="shared" si="1"/>
        <v>11</v>
      </c>
      <c r="B14" s="526"/>
      <c r="C14" s="526" t="s">
        <v>1303</v>
      </c>
      <c r="D14" s="524"/>
      <c r="E14" s="525">
        <v>15000.0</v>
      </c>
      <c r="F14" s="169"/>
      <c r="G14" s="169"/>
      <c r="H14" s="169"/>
      <c r="I14" s="169"/>
      <c r="J14" s="169"/>
      <c r="K14" s="169"/>
      <c r="L14" s="169"/>
      <c r="M14" s="169"/>
      <c r="N14" s="169"/>
      <c r="O14" s="169"/>
      <c r="P14" s="169"/>
      <c r="Q14" s="169"/>
      <c r="R14" s="169"/>
      <c r="S14" s="169"/>
      <c r="T14" s="169"/>
      <c r="U14" s="169"/>
      <c r="V14" s="169"/>
      <c r="W14" s="169"/>
      <c r="X14" s="169"/>
      <c r="Y14" s="169"/>
      <c r="Z14" s="169"/>
    </row>
    <row r="15" ht="14.25" customHeight="1">
      <c r="A15" s="522">
        <f t="shared" si="1"/>
        <v>12</v>
      </c>
      <c r="B15" s="526"/>
      <c r="C15" s="526" t="s">
        <v>1304</v>
      </c>
      <c r="D15" s="524"/>
      <c r="E15" s="525">
        <v>20000.0</v>
      </c>
      <c r="F15" s="169"/>
      <c r="G15" s="169"/>
      <c r="H15" s="169"/>
      <c r="I15" s="169"/>
      <c r="J15" s="169"/>
      <c r="K15" s="169"/>
      <c r="L15" s="169"/>
      <c r="M15" s="169"/>
      <c r="N15" s="169"/>
      <c r="O15" s="169"/>
      <c r="P15" s="169"/>
      <c r="Q15" s="169"/>
      <c r="R15" s="169"/>
      <c r="S15" s="169"/>
      <c r="T15" s="169"/>
      <c r="U15" s="169"/>
      <c r="V15" s="169"/>
      <c r="W15" s="169"/>
      <c r="X15" s="169"/>
      <c r="Y15" s="169"/>
      <c r="Z15" s="169"/>
    </row>
    <row r="16" ht="14.25" customHeight="1">
      <c r="A16" s="522">
        <f t="shared" si="1"/>
        <v>13</v>
      </c>
      <c r="B16" s="526"/>
      <c r="C16" s="526" t="s">
        <v>1305</v>
      </c>
      <c r="D16" s="524"/>
      <c r="E16" s="525">
        <v>14000.0</v>
      </c>
      <c r="F16" s="169"/>
      <c r="G16" s="169"/>
      <c r="H16" s="169"/>
      <c r="I16" s="169"/>
      <c r="J16" s="169"/>
      <c r="K16" s="169"/>
      <c r="L16" s="169"/>
      <c r="M16" s="169"/>
      <c r="N16" s="169"/>
      <c r="O16" s="169"/>
      <c r="P16" s="169"/>
      <c r="Q16" s="169"/>
      <c r="R16" s="169"/>
      <c r="S16" s="169"/>
      <c r="T16" s="169"/>
      <c r="U16" s="169"/>
      <c r="V16" s="169"/>
      <c r="W16" s="169"/>
      <c r="X16" s="169"/>
      <c r="Y16" s="169"/>
      <c r="Z16" s="169"/>
    </row>
    <row r="17" ht="14.25" customHeight="1">
      <c r="A17" s="522">
        <f t="shared" si="1"/>
        <v>14</v>
      </c>
      <c r="B17" s="527"/>
      <c r="C17" s="527" t="s">
        <v>1306</v>
      </c>
      <c r="D17" s="524"/>
      <c r="E17" s="525">
        <v>12000.0</v>
      </c>
      <c r="F17" s="169"/>
      <c r="G17" s="169"/>
      <c r="H17" s="169"/>
      <c r="I17" s="169"/>
      <c r="J17" s="169"/>
      <c r="K17" s="169"/>
      <c r="L17" s="169"/>
      <c r="M17" s="169"/>
      <c r="N17" s="169"/>
      <c r="O17" s="169"/>
      <c r="P17" s="169"/>
      <c r="Q17" s="169"/>
      <c r="R17" s="169"/>
      <c r="S17" s="169"/>
      <c r="T17" s="169"/>
      <c r="U17" s="169"/>
      <c r="V17" s="169"/>
      <c r="W17" s="169"/>
      <c r="X17" s="169"/>
      <c r="Y17" s="169"/>
      <c r="Z17" s="169"/>
    </row>
    <row r="18" ht="14.25" customHeight="1">
      <c r="A18" s="522">
        <f t="shared" si="1"/>
        <v>15</v>
      </c>
      <c r="B18" s="527"/>
      <c r="C18" s="527" t="s">
        <v>1307</v>
      </c>
      <c r="D18" s="524"/>
      <c r="E18" s="525">
        <v>12000.0</v>
      </c>
      <c r="F18" s="169"/>
      <c r="G18" s="169"/>
      <c r="H18" s="169"/>
      <c r="I18" s="169"/>
      <c r="J18" s="169"/>
      <c r="K18" s="169"/>
      <c r="L18" s="169"/>
      <c r="M18" s="169"/>
      <c r="N18" s="169"/>
      <c r="O18" s="169"/>
      <c r="P18" s="169"/>
      <c r="Q18" s="169"/>
      <c r="R18" s="169"/>
      <c r="S18" s="169"/>
      <c r="T18" s="169"/>
      <c r="U18" s="169"/>
      <c r="V18" s="169"/>
      <c r="W18" s="169"/>
      <c r="X18" s="169"/>
      <c r="Y18" s="169"/>
      <c r="Z18" s="169"/>
    </row>
    <row r="19" ht="14.25" customHeight="1">
      <c r="A19" s="522">
        <f t="shared" si="1"/>
        <v>16</v>
      </c>
      <c r="B19" s="526"/>
      <c r="C19" s="526" t="s">
        <v>1308</v>
      </c>
      <c r="D19" s="524"/>
      <c r="E19" s="525">
        <v>12000.0</v>
      </c>
      <c r="F19" s="169"/>
      <c r="G19" s="169"/>
      <c r="H19" s="169"/>
      <c r="I19" s="169"/>
      <c r="J19" s="169"/>
      <c r="K19" s="169"/>
      <c r="L19" s="169"/>
      <c r="M19" s="169"/>
      <c r="N19" s="169"/>
      <c r="O19" s="169"/>
      <c r="P19" s="169"/>
      <c r="Q19" s="169"/>
      <c r="R19" s="169"/>
      <c r="S19" s="169"/>
      <c r="T19" s="169"/>
      <c r="U19" s="169"/>
      <c r="V19" s="169"/>
      <c r="W19" s="169"/>
      <c r="X19" s="169"/>
      <c r="Y19" s="169"/>
      <c r="Z19" s="169"/>
    </row>
    <row r="20" ht="14.25" customHeight="1">
      <c r="A20" s="522">
        <f t="shared" si="1"/>
        <v>17</v>
      </c>
      <c r="B20" s="527"/>
      <c r="C20" s="527" t="s">
        <v>1309</v>
      </c>
      <c r="D20" s="524"/>
      <c r="E20" s="525">
        <v>17000.0</v>
      </c>
      <c r="F20" s="169"/>
      <c r="G20" s="169"/>
      <c r="H20" s="169"/>
      <c r="I20" s="169"/>
      <c r="J20" s="169"/>
      <c r="K20" s="169"/>
      <c r="L20" s="169"/>
      <c r="M20" s="169"/>
      <c r="N20" s="169"/>
      <c r="O20" s="169"/>
      <c r="P20" s="169"/>
      <c r="Q20" s="169"/>
      <c r="R20" s="169"/>
      <c r="S20" s="169"/>
      <c r="T20" s="169"/>
      <c r="U20" s="169"/>
      <c r="V20" s="169"/>
      <c r="W20" s="169"/>
      <c r="X20" s="169"/>
      <c r="Y20" s="169"/>
      <c r="Z20" s="169"/>
    </row>
    <row r="21" ht="14.25" customHeight="1">
      <c r="A21" s="522">
        <f t="shared" si="1"/>
        <v>18</v>
      </c>
      <c r="B21" s="528"/>
      <c r="C21" s="528"/>
      <c r="D21" s="529"/>
      <c r="E21" s="509"/>
      <c r="F21" s="169"/>
      <c r="G21" s="169"/>
      <c r="H21" s="169"/>
      <c r="I21" s="169"/>
      <c r="J21" s="169"/>
      <c r="K21" s="169"/>
      <c r="L21" s="169"/>
      <c r="M21" s="169"/>
      <c r="N21" s="169"/>
      <c r="O21" s="169"/>
      <c r="P21" s="169"/>
      <c r="Q21" s="169"/>
      <c r="R21" s="169"/>
      <c r="S21" s="169"/>
      <c r="T21" s="169"/>
      <c r="U21" s="169"/>
      <c r="V21" s="169"/>
      <c r="W21" s="169"/>
      <c r="X21" s="169"/>
      <c r="Y21" s="169"/>
      <c r="Z21" s="169"/>
    </row>
    <row r="22" ht="14.25" customHeight="1">
      <c r="A22" s="522"/>
      <c r="B22" s="509"/>
      <c r="C22" s="530"/>
      <c r="D22" s="530" t="s">
        <v>38</v>
      </c>
      <c r="E22" s="531">
        <f>SUM(E4:E21)</f>
        <v>289659</v>
      </c>
      <c r="F22" s="169"/>
      <c r="G22" s="169"/>
      <c r="H22" s="169"/>
      <c r="I22" s="169"/>
      <c r="J22" s="169"/>
      <c r="K22" s="169"/>
      <c r="L22" s="169"/>
      <c r="M22" s="169"/>
      <c r="N22" s="169"/>
      <c r="O22" s="169"/>
      <c r="P22" s="169"/>
      <c r="Q22" s="169"/>
      <c r="R22" s="169"/>
      <c r="S22" s="169"/>
      <c r="T22" s="169"/>
      <c r="U22" s="169"/>
      <c r="V22" s="169"/>
      <c r="W22" s="169"/>
      <c r="X22" s="169"/>
      <c r="Y22" s="169"/>
      <c r="Z22" s="169"/>
    </row>
    <row r="23" ht="14.25" customHeight="1">
      <c r="A23" s="522"/>
      <c r="B23" s="532" t="s">
        <v>1310</v>
      </c>
      <c r="C23" s="533"/>
      <c r="D23" s="533"/>
      <c r="E23" s="534"/>
      <c r="F23" s="169"/>
      <c r="G23" s="169"/>
      <c r="H23" s="169"/>
      <c r="I23" s="169"/>
      <c r="J23" s="169"/>
      <c r="K23" s="169"/>
      <c r="L23" s="169"/>
      <c r="M23" s="169"/>
      <c r="N23" s="169"/>
      <c r="O23" s="169"/>
      <c r="P23" s="169"/>
      <c r="Q23" s="169"/>
      <c r="R23" s="169"/>
      <c r="S23" s="169"/>
      <c r="T23" s="169"/>
      <c r="U23" s="169"/>
      <c r="V23" s="169"/>
      <c r="W23" s="169"/>
      <c r="X23" s="169"/>
      <c r="Y23" s="169"/>
      <c r="Z23" s="169"/>
    </row>
    <row r="24" ht="14.25" customHeight="1">
      <c r="A24" s="522">
        <v>1.0</v>
      </c>
      <c r="B24" s="535" t="s">
        <v>1311</v>
      </c>
      <c r="C24" s="536" t="s">
        <v>1312</v>
      </c>
      <c r="D24" s="533"/>
      <c r="E24" s="537"/>
      <c r="F24" s="538" t="s">
        <v>1313</v>
      </c>
      <c r="G24" s="169"/>
      <c r="H24" s="169"/>
      <c r="I24" s="169"/>
      <c r="J24" s="169"/>
      <c r="K24" s="169"/>
      <c r="L24" s="169"/>
      <c r="M24" s="169"/>
      <c r="N24" s="169"/>
      <c r="O24" s="169"/>
      <c r="P24" s="169"/>
      <c r="Q24" s="169"/>
      <c r="R24" s="169"/>
      <c r="S24" s="169"/>
      <c r="T24" s="169"/>
      <c r="U24" s="169"/>
      <c r="V24" s="169"/>
      <c r="W24" s="169"/>
      <c r="X24" s="169"/>
      <c r="Y24" s="169"/>
      <c r="Z24" s="169"/>
    </row>
    <row r="25" ht="14.25" customHeight="1">
      <c r="A25" s="522">
        <v>2.0</v>
      </c>
      <c r="B25" s="535" t="s">
        <v>1311</v>
      </c>
      <c r="C25" s="536" t="s">
        <v>1314</v>
      </c>
      <c r="D25" s="533"/>
      <c r="E25" s="537"/>
      <c r="F25" s="538" t="s">
        <v>1313</v>
      </c>
      <c r="G25" s="169"/>
      <c r="H25" s="169"/>
      <c r="I25" s="169"/>
      <c r="J25" s="169"/>
      <c r="K25" s="169"/>
      <c r="L25" s="169"/>
      <c r="M25" s="169"/>
      <c r="N25" s="169"/>
      <c r="O25" s="169"/>
      <c r="P25" s="169"/>
      <c r="Q25" s="169"/>
      <c r="R25" s="169"/>
      <c r="S25" s="169"/>
      <c r="T25" s="169"/>
      <c r="U25" s="169"/>
      <c r="V25" s="169"/>
      <c r="W25" s="169"/>
      <c r="X25" s="169"/>
      <c r="Y25" s="169"/>
      <c r="Z25" s="169"/>
    </row>
    <row r="26" ht="14.25" customHeight="1">
      <c r="A26" s="539">
        <v>3.0</v>
      </c>
      <c r="B26" s="535" t="s">
        <v>1311</v>
      </c>
      <c r="C26" s="536" t="s">
        <v>1315</v>
      </c>
      <c r="D26" s="533"/>
      <c r="E26" s="537"/>
      <c r="F26" s="538" t="s">
        <v>1313</v>
      </c>
      <c r="G26" s="169"/>
      <c r="H26" s="169"/>
      <c r="I26" s="169"/>
      <c r="J26" s="169"/>
      <c r="K26" s="169"/>
      <c r="L26" s="169"/>
      <c r="M26" s="169"/>
      <c r="N26" s="169"/>
      <c r="O26" s="169"/>
      <c r="P26" s="169"/>
      <c r="Q26" s="169"/>
      <c r="R26" s="169"/>
      <c r="S26" s="169"/>
      <c r="T26" s="169"/>
      <c r="U26" s="169"/>
      <c r="V26" s="169"/>
      <c r="W26" s="169"/>
      <c r="X26" s="169"/>
      <c r="Y26" s="169"/>
      <c r="Z26" s="169"/>
    </row>
    <row r="27" ht="14.25" customHeight="1">
      <c r="A27" s="522"/>
      <c r="B27" s="540"/>
      <c r="C27" s="541"/>
      <c r="D27" s="533" t="s">
        <v>38</v>
      </c>
      <c r="E27" s="542">
        <f>SUM(E24:E26)</f>
        <v>0</v>
      </c>
      <c r="F27" s="169"/>
      <c r="G27" s="169"/>
      <c r="H27" s="169"/>
      <c r="I27" s="169"/>
      <c r="J27" s="169"/>
      <c r="K27" s="169"/>
      <c r="L27" s="169"/>
      <c r="M27" s="169"/>
      <c r="N27" s="169"/>
      <c r="O27" s="169"/>
      <c r="P27" s="169"/>
      <c r="Q27" s="169"/>
      <c r="R27" s="169"/>
      <c r="S27" s="169"/>
      <c r="T27" s="169"/>
      <c r="U27" s="169"/>
      <c r="V27" s="169"/>
      <c r="W27" s="169"/>
      <c r="X27" s="169"/>
      <c r="Y27" s="169"/>
      <c r="Z27" s="169"/>
    </row>
    <row r="28" ht="14.25" customHeight="1">
      <c r="A28" s="522"/>
      <c r="B28" s="543" t="s">
        <v>1316</v>
      </c>
      <c r="C28" s="509"/>
      <c r="D28" s="533"/>
      <c r="E28" s="534"/>
      <c r="F28" s="169"/>
      <c r="G28" s="169"/>
      <c r="H28" s="169"/>
      <c r="I28" s="169"/>
      <c r="J28" s="169"/>
      <c r="K28" s="169"/>
      <c r="L28" s="169"/>
      <c r="M28" s="169"/>
      <c r="N28" s="169"/>
      <c r="O28" s="169"/>
      <c r="P28" s="169"/>
      <c r="Q28" s="169"/>
      <c r="R28" s="169"/>
      <c r="S28" s="169"/>
      <c r="T28" s="169"/>
      <c r="U28" s="169"/>
      <c r="V28" s="169"/>
      <c r="W28" s="169"/>
      <c r="X28" s="169"/>
      <c r="Y28" s="169"/>
      <c r="Z28" s="169"/>
    </row>
    <row r="29" ht="14.25" customHeight="1">
      <c r="A29" s="522">
        <v>1.0</v>
      </c>
      <c r="B29" s="509" t="s">
        <v>1317</v>
      </c>
      <c r="C29" s="509"/>
      <c r="D29" s="533"/>
      <c r="E29" s="544">
        <v>15000.0</v>
      </c>
      <c r="F29" s="169"/>
      <c r="G29" s="169"/>
      <c r="H29" s="169"/>
      <c r="I29" s="169"/>
      <c r="J29" s="169"/>
      <c r="K29" s="169"/>
      <c r="L29" s="169"/>
      <c r="M29" s="169"/>
      <c r="N29" s="169"/>
      <c r="O29" s="169"/>
      <c r="P29" s="169"/>
      <c r="Q29" s="169"/>
      <c r="R29" s="169"/>
      <c r="S29" s="169"/>
      <c r="T29" s="169"/>
      <c r="U29" s="169"/>
      <c r="V29" s="169"/>
      <c r="W29" s="169"/>
      <c r="X29" s="169"/>
      <c r="Y29" s="169"/>
      <c r="Z29" s="169"/>
    </row>
    <row r="30" ht="14.25" customHeight="1">
      <c r="A30" s="522"/>
      <c r="B30" s="540"/>
      <c r="C30" s="541"/>
      <c r="D30" s="533"/>
      <c r="E30" s="545"/>
      <c r="F30" s="169"/>
      <c r="G30" s="169"/>
      <c r="H30" s="169"/>
      <c r="I30" s="169"/>
      <c r="J30" s="169"/>
      <c r="K30" s="169"/>
      <c r="L30" s="169"/>
      <c r="M30" s="169"/>
      <c r="N30" s="169"/>
      <c r="O30" s="169"/>
      <c r="P30" s="169"/>
      <c r="Q30" s="169"/>
      <c r="R30" s="169"/>
      <c r="S30" s="169"/>
      <c r="T30" s="169"/>
      <c r="U30" s="169"/>
      <c r="V30" s="169"/>
      <c r="W30" s="169"/>
      <c r="X30" s="169"/>
      <c r="Y30" s="169"/>
      <c r="Z30" s="169"/>
    </row>
    <row r="31" ht="14.25" customHeight="1">
      <c r="A31" s="522"/>
      <c r="B31" s="543" t="s">
        <v>1318</v>
      </c>
      <c r="C31" s="509"/>
      <c r="D31" s="533"/>
      <c r="E31" s="534"/>
      <c r="F31" s="169"/>
      <c r="G31" s="169"/>
      <c r="H31" s="169"/>
      <c r="I31" s="169"/>
      <c r="J31" s="169"/>
      <c r="K31" s="169"/>
      <c r="L31" s="169"/>
      <c r="M31" s="169"/>
      <c r="N31" s="169"/>
      <c r="O31" s="169"/>
      <c r="P31" s="169"/>
      <c r="Q31" s="169"/>
      <c r="R31" s="169"/>
      <c r="S31" s="169"/>
      <c r="T31" s="169"/>
      <c r="U31" s="169"/>
      <c r="V31" s="169"/>
      <c r="W31" s="169"/>
      <c r="X31" s="169"/>
      <c r="Y31" s="169"/>
      <c r="Z31" s="169"/>
    </row>
    <row r="32" ht="14.25" customHeight="1">
      <c r="A32" s="522">
        <f>A22+1</f>
        <v>1</v>
      </c>
      <c r="B32" s="525" t="s">
        <v>1319</v>
      </c>
      <c r="C32" s="525" t="s">
        <v>1320</v>
      </c>
      <c r="D32" s="509"/>
      <c r="E32" s="546">
        <v>24000.0</v>
      </c>
      <c r="F32" s="169"/>
      <c r="G32" s="169"/>
      <c r="H32" s="169"/>
      <c r="I32" s="169"/>
      <c r="J32" s="169"/>
      <c r="K32" s="169"/>
      <c r="L32" s="169"/>
      <c r="M32" s="169"/>
      <c r="N32" s="169"/>
      <c r="O32" s="169"/>
      <c r="P32" s="169"/>
      <c r="Q32" s="169"/>
      <c r="R32" s="169"/>
      <c r="S32" s="169"/>
      <c r="T32" s="169"/>
      <c r="U32" s="169"/>
      <c r="V32" s="169"/>
      <c r="W32" s="169"/>
      <c r="X32" s="169"/>
      <c r="Y32" s="169"/>
      <c r="Z32" s="169"/>
    </row>
    <row r="33" ht="14.25" customHeight="1">
      <c r="A33" s="522"/>
      <c r="B33" s="509"/>
      <c r="C33" s="509"/>
      <c r="D33" s="509"/>
      <c r="E33" s="534"/>
      <c r="F33" s="169"/>
      <c r="G33" s="169"/>
      <c r="H33" s="169"/>
      <c r="I33" s="169"/>
      <c r="J33" s="169"/>
      <c r="K33" s="169"/>
      <c r="L33" s="169"/>
      <c r="M33" s="169"/>
      <c r="N33" s="169"/>
      <c r="O33" s="169"/>
      <c r="P33" s="169"/>
      <c r="Q33" s="169"/>
      <c r="R33" s="169"/>
      <c r="S33" s="169"/>
      <c r="T33" s="169"/>
      <c r="U33" s="169"/>
      <c r="V33" s="169"/>
      <c r="W33" s="169"/>
      <c r="X33" s="169"/>
      <c r="Y33" s="169"/>
      <c r="Z33" s="169"/>
    </row>
    <row r="34" ht="14.25" customHeight="1">
      <c r="A34" s="509"/>
      <c r="B34" s="509"/>
      <c r="C34" s="509"/>
      <c r="D34" s="533" t="s">
        <v>38</v>
      </c>
      <c r="E34" s="531">
        <f>SUM(E32:E33)</f>
        <v>24000</v>
      </c>
      <c r="F34" s="169"/>
      <c r="G34" s="169"/>
      <c r="H34" s="169"/>
      <c r="I34" s="169"/>
      <c r="J34" s="169"/>
      <c r="K34" s="169"/>
      <c r="L34" s="169"/>
      <c r="M34" s="169"/>
      <c r="N34" s="169"/>
      <c r="O34" s="169"/>
      <c r="P34" s="169"/>
      <c r="Q34" s="169"/>
      <c r="R34" s="169"/>
      <c r="S34" s="169"/>
      <c r="T34" s="169"/>
      <c r="U34" s="169"/>
      <c r="V34" s="169"/>
      <c r="W34" s="169"/>
      <c r="X34" s="169"/>
      <c r="Y34" s="169"/>
      <c r="Z34" s="169"/>
    </row>
    <row r="35" ht="14.25" customHeight="1">
      <c r="A35" s="169"/>
      <c r="B35" s="169"/>
      <c r="C35" s="169"/>
      <c r="D35" s="507"/>
      <c r="E35" s="168"/>
      <c r="F35" s="169"/>
      <c r="G35" s="169"/>
      <c r="H35" s="169"/>
      <c r="I35" s="169"/>
      <c r="J35" s="169"/>
      <c r="K35" s="169"/>
      <c r="L35" s="169"/>
      <c r="M35" s="169"/>
      <c r="N35" s="169"/>
      <c r="O35" s="169"/>
      <c r="P35" s="169"/>
      <c r="Q35" s="169"/>
      <c r="R35" s="169"/>
      <c r="S35" s="169"/>
      <c r="T35" s="169"/>
      <c r="U35" s="169"/>
      <c r="V35" s="169"/>
      <c r="W35" s="169"/>
      <c r="X35" s="169"/>
      <c r="Y35" s="169"/>
      <c r="Z35" s="169"/>
    </row>
    <row r="36" ht="14.25" customHeight="1">
      <c r="A36" s="169"/>
      <c r="B36" s="169"/>
      <c r="C36" s="169"/>
      <c r="D36" s="169"/>
      <c r="E36" s="169"/>
      <c r="F36" s="169"/>
      <c r="G36" s="169"/>
      <c r="H36" s="169"/>
      <c r="I36" s="169"/>
      <c r="J36" s="169"/>
      <c r="K36" s="169"/>
      <c r="L36" s="169"/>
      <c r="M36" s="169"/>
      <c r="N36" s="169"/>
      <c r="O36" s="169"/>
      <c r="P36" s="169"/>
      <c r="Q36" s="169"/>
      <c r="R36" s="169"/>
      <c r="S36" s="169"/>
      <c r="T36" s="169"/>
      <c r="U36" s="169"/>
      <c r="V36" s="169"/>
      <c r="W36" s="169"/>
      <c r="X36" s="169"/>
      <c r="Y36" s="169"/>
      <c r="Z36" s="169"/>
    </row>
    <row r="37" ht="14.25" customHeight="1">
      <c r="A37" s="169"/>
      <c r="B37" s="169"/>
      <c r="C37" s="169"/>
      <c r="D37" s="547" t="s">
        <v>1321</v>
      </c>
      <c r="E37" s="548">
        <f>E22+E27+E29+E34</f>
        <v>328659</v>
      </c>
      <c r="F37" s="169"/>
      <c r="G37" s="169"/>
      <c r="H37" s="169"/>
      <c r="I37" s="168"/>
      <c r="J37" s="168"/>
      <c r="K37" s="168"/>
      <c r="L37" s="169"/>
      <c r="M37" s="169"/>
      <c r="N37" s="169"/>
      <c r="O37" s="169"/>
      <c r="P37" s="169"/>
      <c r="Q37" s="169"/>
      <c r="R37" s="169"/>
      <c r="S37" s="169"/>
      <c r="T37" s="169"/>
      <c r="U37" s="169"/>
      <c r="V37" s="169"/>
      <c r="W37" s="169"/>
      <c r="X37" s="169"/>
      <c r="Y37" s="169"/>
      <c r="Z37" s="169"/>
    </row>
    <row r="38" ht="14.25" customHeight="1">
      <c r="A38" s="169"/>
      <c r="B38" s="169"/>
      <c r="C38" s="169"/>
      <c r="D38" s="549" t="s">
        <v>1322</v>
      </c>
      <c r="E38" s="550"/>
      <c r="F38" s="169"/>
      <c r="G38" s="169"/>
      <c r="H38" s="169"/>
      <c r="I38" s="168"/>
      <c r="J38" s="168"/>
      <c r="K38" s="168"/>
      <c r="L38" s="169"/>
      <c r="M38" s="169"/>
      <c r="N38" s="169"/>
      <c r="O38" s="169"/>
      <c r="P38" s="169"/>
      <c r="Q38" s="169"/>
      <c r="R38" s="169"/>
      <c r="S38" s="169"/>
      <c r="T38" s="169"/>
      <c r="U38" s="169"/>
      <c r="V38" s="169"/>
      <c r="W38" s="169"/>
      <c r="X38" s="169"/>
      <c r="Y38" s="169"/>
      <c r="Z38" s="169"/>
    </row>
    <row r="39" ht="14.25" customHeight="1">
      <c r="A39" s="169"/>
      <c r="B39" s="169"/>
      <c r="C39" s="169"/>
      <c r="D39" s="551" t="s">
        <v>1323</v>
      </c>
      <c r="E39" s="552"/>
      <c r="F39" s="169"/>
      <c r="G39" s="169"/>
      <c r="H39" s="169"/>
      <c r="I39" s="169"/>
      <c r="J39" s="169"/>
      <c r="K39" s="169"/>
      <c r="L39" s="169"/>
      <c r="M39" s="169"/>
      <c r="N39" s="169"/>
      <c r="O39" s="169"/>
      <c r="P39" s="169"/>
      <c r="Q39" s="169"/>
      <c r="R39" s="169"/>
      <c r="S39" s="169"/>
      <c r="T39" s="169"/>
      <c r="U39" s="169"/>
      <c r="V39" s="169"/>
      <c r="W39" s="169"/>
      <c r="X39" s="169"/>
      <c r="Y39" s="169"/>
      <c r="Z39" s="169"/>
    </row>
    <row r="40" ht="14.25" customHeight="1">
      <c r="A40" s="169"/>
      <c r="B40" s="169"/>
      <c r="C40" s="169"/>
      <c r="D40" s="553" t="s">
        <v>1324</v>
      </c>
      <c r="E40" s="554"/>
      <c r="F40" s="169"/>
      <c r="G40" s="169"/>
      <c r="H40" s="169"/>
      <c r="I40" s="169"/>
      <c r="J40" s="169"/>
      <c r="K40" s="169"/>
      <c r="L40" s="169"/>
      <c r="M40" s="169"/>
      <c r="N40" s="169"/>
      <c r="O40" s="169"/>
      <c r="P40" s="169"/>
      <c r="Q40" s="169"/>
      <c r="R40" s="169"/>
      <c r="S40" s="169"/>
      <c r="T40" s="169"/>
      <c r="U40" s="169"/>
      <c r="V40" s="169"/>
      <c r="W40" s="169"/>
      <c r="X40" s="169"/>
      <c r="Y40" s="169"/>
      <c r="Z40" s="169"/>
    </row>
    <row r="41" ht="14.25" customHeight="1">
      <c r="A41" s="169"/>
      <c r="B41" s="169"/>
      <c r="C41" s="169"/>
      <c r="D41" s="555" t="s">
        <v>105</v>
      </c>
      <c r="E41" s="556"/>
      <c r="F41" s="169"/>
      <c r="G41" s="169"/>
      <c r="H41" s="169"/>
      <c r="I41" s="169"/>
      <c r="J41" s="169"/>
      <c r="K41" s="169"/>
      <c r="L41" s="169"/>
      <c r="M41" s="169"/>
      <c r="N41" s="169"/>
      <c r="O41" s="169"/>
      <c r="P41" s="169"/>
      <c r="Q41" s="169"/>
      <c r="R41" s="169"/>
      <c r="S41" s="169"/>
      <c r="T41" s="169"/>
      <c r="U41" s="169"/>
      <c r="V41" s="169"/>
      <c r="W41" s="169"/>
      <c r="X41" s="169"/>
      <c r="Y41" s="169"/>
      <c r="Z41" s="169"/>
    </row>
    <row r="42" ht="14.25" customHeight="1">
      <c r="A42" s="169"/>
      <c r="B42" s="169"/>
      <c r="C42" s="169"/>
      <c r="D42" s="557"/>
      <c r="E42" s="558"/>
      <c r="F42" s="169"/>
      <c r="G42" s="169"/>
      <c r="H42" s="169"/>
      <c r="I42" s="348"/>
      <c r="J42" s="348"/>
      <c r="K42" s="348"/>
      <c r="L42" s="169"/>
      <c r="M42" s="169"/>
      <c r="N42" s="169"/>
      <c r="O42" s="169"/>
      <c r="P42" s="169"/>
      <c r="Q42" s="169"/>
      <c r="R42" s="169"/>
      <c r="S42" s="169"/>
      <c r="T42" s="169"/>
      <c r="U42" s="169"/>
      <c r="V42" s="169"/>
      <c r="W42" s="169"/>
      <c r="X42" s="169"/>
      <c r="Y42" s="169"/>
      <c r="Z42" s="169"/>
    </row>
    <row r="43" ht="14.25" customHeight="1">
      <c r="A43" s="169"/>
      <c r="B43" s="169"/>
      <c r="C43" s="169"/>
      <c r="D43" s="530" t="s">
        <v>1325</v>
      </c>
      <c r="E43" s="559">
        <f>SUM(E37:E41)</f>
        <v>328659</v>
      </c>
      <c r="F43" s="169"/>
      <c r="G43" s="169"/>
      <c r="H43" s="169"/>
      <c r="I43" s="169"/>
      <c r="J43" s="169"/>
      <c r="K43" s="169"/>
      <c r="L43" s="169"/>
      <c r="M43" s="169"/>
      <c r="N43" s="169"/>
      <c r="O43" s="169"/>
      <c r="P43" s="169"/>
      <c r="Q43" s="169"/>
      <c r="R43" s="169"/>
      <c r="S43" s="169"/>
      <c r="T43" s="169"/>
      <c r="U43" s="169"/>
      <c r="V43" s="169"/>
      <c r="W43" s="169"/>
      <c r="X43" s="169"/>
      <c r="Y43" s="169"/>
      <c r="Z43" s="169"/>
    </row>
    <row r="44" ht="14.25" customHeight="1">
      <c r="A44" s="169"/>
      <c r="B44" s="169"/>
      <c r="C44" s="169"/>
      <c r="D44" s="169"/>
      <c r="E44" s="169"/>
      <c r="F44" s="169"/>
      <c r="G44" s="169"/>
      <c r="H44" s="169"/>
      <c r="I44" s="169"/>
      <c r="J44" s="169"/>
      <c r="K44" s="169"/>
      <c r="L44" s="169"/>
      <c r="M44" s="169"/>
      <c r="N44" s="169"/>
      <c r="O44" s="169"/>
      <c r="P44" s="169"/>
      <c r="Q44" s="169"/>
      <c r="R44" s="169"/>
      <c r="S44" s="169"/>
      <c r="T44" s="169"/>
      <c r="U44" s="169"/>
      <c r="V44" s="169"/>
      <c r="W44" s="169"/>
      <c r="X44" s="169"/>
      <c r="Y44" s="169"/>
      <c r="Z44" s="169"/>
    </row>
    <row r="45" ht="14.25" customHeight="1">
      <c r="A45" s="169"/>
      <c r="B45" s="169"/>
      <c r="C45" s="169"/>
      <c r="D45" s="530" t="s">
        <v>1326</v>
      </c>
      <c r="E45" s="559">
        <f>E43*12</f>
        <v>3943908</v>
      </c>
      <c r="F45" s="169"/>
      <c r="G45" s="169"/>
      <c r="H45" s="169"/>
      <c r="I45" s="169"/>
      <c r="J45" s="169"/>
      <c r="K45" s="169"/>
      <c r="L45" s="169"/>
      <c r="M45" s="169"/>
      <c r="N45" s="169"/>
      <c r="O45" s="169"/>
      <c r="P45" s="169"/>
      <c r="Q45" s="169"/>
      <c r="R45" s="169"/>
      <c r="S45" s="169"/>
      <c r="T45" s="169"/>
      <c r="U45" s="169"/>
      <c r="V45" s="169"/>
      <c r="W45" s="169"/>
      <c r="X45" s="169"/>
      <c r="Y45" s="169"/>
      <c r="Z45" s="169"/>
    </row>
    <row r="46" ht="14.25" customHeight="1">
      <c r="A46" s="169"/>
      <c r="B46" s="169"/>
      <c r="C46" s="169"/>
      <c r="D46" s="169"/>
      <c r="E46" s="169"/>
      <c r="F46" s="169"/>
      <c r="G46" s="169"/>
      <c r="H46" s="169"/>
      <c r="I46" s="169"/>
      <c r="J46" s="169"/>
      <c r="K46" s="169"/>
      <c r="L46" s="169"/>
      <c r="M46" s="169"/>
      <c r="N46" s="169"/>
      <c r="O46" s="169"/>
      <c r="P46" s="169"/>
      <c r="Q46" s="169"/>
      <c r="R46" s="169"/>
      <c r="S46" s="169"/>
      <c r="T46" s="169"/>
      <c r="U46" s="169"/>
      <c r="V46" s="169"/>
      <c r="W46" s="169"/>
      <c r="X46" s="169"/>
      <c r="Y46" s="169"/>
      <c r="Z46" s="169"/>
    </row>
    <row r="47" ht="14.25" customHeight="1">
      <c r="A47" s="169"/>
      <c r="B47" s="169"/>
      <c r="C47" s="169"/>
      <c r="D47" s="169"/>
      <c r="E47" s="169"/>
      <c r="F47" s="169"/>
      <c r="G47" s="169"/>
      <c r="H47" s="169"/>
      <c r="I47" s="169"/>
      <c r="J47" s="169"/>
      <c r="K47" s="169"/>
      <c r="L47" s="169"/>
      <c r="M47" s="169"/>
      <c r="N47" s="169"/>
      <c r="O47" s="169"/>
      <c r="P47" s="169"/>
      <c r="Q47" s="169"/>
      <c r="R47" s="169"/>
      <c r="S47" s="169"/>
      <c r="T47" s="169"/>
      <c r="U47" s="169"/>
      <c r="V47" s="169"/>
      <c r="W47" s="169"/>
      <c r="X47" s="169"/>
      <c r="Y47" s="169"/>
      <c r="Z47" s="169"/>
    </row>
    <row r="48" ht="14.25" customHeight="1">
      <c r="A48" s="169"/>
      <c r="B48" s="169"/>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row>
    <row r="49" ht="14.25" customHeight="1">
      <c r="A49" s="169"/>
      <c r="B49" s="169"/>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row>
    <row r="50" ht="14.25" customHeight="1">
      <c r="A50" s="169"/>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row>
    <row r="51" ht="14.25" customHeight="1">
      <c r="A51" s="169"/>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c r="Z51" s="169"/>
    </row>
    <row r="52" ht="14.25" customHeight="1">
      <c r="A52" s="169"/>
      <c r="B52" s="169"/>
      <c r="C52" s="169"/>
      <c r="D52" s="169"/>
      <c r="E52" s="169"/>
      <c r="F52" s="169"/>
      <c r="G52" s="169"/>
      <c r="H52" s="169"/>
      <c r="I52" s="169"/>
      <c r="J52" s="169"/>
      <c r="K52" s="169"/>
      <c r="L52" s="169"/>
      <c r="M52" s="169"/>
      <c r="N52" s="169"/>
      <c r="O52" s="169"/>
      <c r="P52" s="169"/>
      <c r="Q52" s="169"/>
      <c r="R52" s="169"/>
      <c r="S52" s="169"/>
      <c r="T52" s="169"/>
      <c r="U52" s="169"/>
      <c r="V52" s="169"/>
      <c r="W52" s="169"/>
      <c r="X52" s="169"/>
      <c r="Y52" s="169"/>
      <c r="Z52" s="169"/>
    </row>
    <row r="53" ht="14.25" customHeight="1">
      <c r="A53" s="169"/>
      <c r="B53" s="169"/>
      <c r="C53" s="169"/>
      <c r="D53" s="169"/>
      <c r="E53" s="169"/>
      <c r="F53" s="169"/>
      <c r="G53" s="169"/>
      <c r="H53" s="169"/>
      <c r="I53" s="169"/>
      <c r="J53" s="169"/>
      <c r="K53" s="169"/>
      <c r="L53" s="169"/>
      <c r="M53" s="169"/>
      <c r="N53" s="169"/>
      <c r="O53" s="169"/>
      <c r="P53" s="169"/>
      <c r="Q53" s="169"/>
      <c r="R53" s="169"/>
      <c r="S53" s="169"/>
      <c r="T53" s="169"/>
      <c r="U53" s="169"/>
      <c r="V53" s="169"/>
      <c r="W53" s="169"/>
      <c r="X53" s="169"/>
      <c r="Y53" s="169"/>
      <c r="Z53" s="169"/>
    </row>
    <row r="54" ht="14.25" customHeight="1">
      <c r="A54" s="169"/>
      <c r="B54" s="169"/>
      <c r="C54" s="169"/>
      <c r="D54" s="169"/>
      <c r="E54" s="169"/>
      <c r="F54" s="169"/>
      <c r="G54" s="169"/>
      <c r="H54" s="169"/>
      <c r="I54" s="169"/>
      <c r="J54" s="169"/>
      <c r="K54" s="169"/>
      <c r="L54" s="169"/>
      <c r="M54" s="169"/>
      <c r="N54" s="169"/>
      <c r="O54" s="169"/>
      <c r="P54" s="169"/>
      <c r="Q54" s="169"/>
      <c r="R54" s="169"/>
      <c r="S54" s="169"/>
      <c r="T54" s="169"/>
      <c r="U54" s="169"/>
      <c r="V54" s="169"/>
      <c r="W54" s="169"/>
      <c r="X54" s="169"/>
      <c r="Y54" s="169"/>
      <c r="Z54" s="169"/>
    </row>
    <row r="55" ht="14.25" customHeight="1">
      <c r="A55" s="169"/>
      <c r="B55" s="169"/>
      <c r="C55" s="169"/>
      <c r="D55" s="169"/>
      <c r="E55" s="169"/>
      <c r="F55" s="169"/>
      <c r="G55" s="169"/>
      <c r="H55" s="169"/>
      <c r="I55" s="169"/>
      <c r="J55" s="169"/>
      <c r="K55" s="169"/>
      <c r="L55" s="169"/>
      <c r="M55" s="169"/>
      <c r="N55" s="169"/>
      <c r="O55" s="169"/>
      <c r="P55" s="169"/>
      <c r="Q55" s="169"/>
      <c r="R55" s="169"/>
      <c r="S55" s="169"/>
      <c r="T55" s="169"/>
      <c r="U55" s="169"/>
      <c r="V55" s="169"/>
      <c r="W55" s="169"/>
      <c r="X55" s="169"/>
      <c r="Y55" s="169"/>
      <c r="Z55" s="169"/>
    </row>
    <row r="56" ht="14.25" customHeight="1">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row>
    <row r="57" ht="14.25" customHeight="1">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row>
    <row r="58" ht="14.25" customHeight="1">
      <c r="A58" s="169"/>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row>
    <row r="59" ht="14.25" customHeight="1">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row>
    <row r="60" ht="14.25" customHeight="1">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row>
    <row r="61" ht="14.25" customHeight="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row>
    <row r="62" ht="14.25" customHeight="1">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row>
    <row r="63" ht="14.25" customHeight="1">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row>
    <row r="64" ht="14.25" customHeight="1">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row>
    <row r="65" ht="14.25" customHeight="1">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row>
    <row r="66" ht="14.25" customHeight="1">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row>
    <row r="67" ht="14.25" customHeight="1">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row>
    <row r="68" ht="14.25" customHeight="1">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row>
    <row r="69" ht="14.25" customHeight="1">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row>
    <row r="70" ht="14.25" customHeight="1">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row>
    <row r="71" ht="14.25" customHeight="1">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row>
    <row r="72" ht="14.25" customHeight="1">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row>
    <row r="73" ht="14.25" customHeight="1">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row>
    <row r="74" ht="14.25" customHeight="1">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row>
    <row r="75" ht="14.25" customHeight="1">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row>
    <row r="76" ht="14.25" customHeight="1">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row>
    <row r="77" ht="14.25" customHeight="1">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row>
    <row r="78" ht="14.25" customHeight="1">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row>
    <row r="79" ht="14.25" customHeight="1">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row>
    <row r="80" ht="14.25" customHeight="1">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row>
    <row r="81" ht="14.25" customHeight="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row>
    <row r="82" ht="14.25" customHeight="1">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row>
    <row r="83" ht="14.25" customHeight="1">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row>
    <row r="84" ht="14.25" customHeight="1">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row>
    <row r="85" ht="14.25" customHeight="1">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row>
    <row r="86" ht="14.25" customHeight="1">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row>
    <row r="87" ht="14.25" customHeight="1">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row>
    <row r="88" ht="14.25" customHeight="1">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row>
    <row r="89" ht="14.25" customHeight="1">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row>
    <row r="90" ht="14.25" customHeight="1">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row>
    <row r="91" ht="14.25" customHeight="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row>
    <row r="92" ht="14.25" customHeight="1">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row>
    <row r="93" ht="14.25" customHeight="1">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row>
    <row r="94" ht="14.25" customHeight="1">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row>
    <row r="95" ht="14.25" customHeight="1">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row>
    <row r="96" ht="14.25" customHeight="1">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row>
    <row r="97" ht="14.25" customHeight="1">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row>
    <row r="98" ht="14.25" customHeight="1">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row>
    <row r="99" ht="14.25" customHeight="1">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ht="14.25" customHeight="1">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ht="14.25" customHeight="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ht="14.25" customHeight="1">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ht="14.25" customHeight="1">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ht="14.25" customHeight="1">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ht="14.25" customHeight="1">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ht="14.25" customHeight="1">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ht="14.25" customHeight="1">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ht="14.25" customHeight="1">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ht="14.25" customHeight="1">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ht="14.25" customHeight="1">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ht="14.25" customHeight="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ht="14.25" customHeight="1">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ht="14.25" customHeight="1">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ht="14.25" customHeight="1">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ht="14.25" customHeight="1">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ht="14.25" customHeight="1">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ht="14.25" customHeight="1">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ht="14.25" customHeight="1">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ht="14.25" customHeight="1">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ht="14.25" customHeight="1">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ht="14.25" customHeight="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ht="14.25" customHeight="1">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ht="14.25" customHeight="1">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ht="14.25" customHeight="1">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ht="14.25" customHeight="1">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ht="14.25" customHeight="1">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ht="14.25" customHeight="1">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ht="14.25" customHeight="1">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ht="14.25" customHeight="1">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ht="14.25" customHeight="1">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ht="14.25" customHeight="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ht="14.25" customHeight="1">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ht="14.25" customHeight="1">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ht="14.25" customHeight="1">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ht="14.25" customHeight="1">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ht="14.25" customHeight="1">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ht="14.25" customHeight="1">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ht="14.25" customHeight="1">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ht="14.25" customHeight="1">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ht="14.25" customHeight="1">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ht="14.25" customHeight="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ht="14.25" customHeight="1">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ht="14.25" customHeight="1">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ht="14.25" customHeight="1">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ht="14.25" customHeight="1">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ht="14.25" customHeight="1">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ht="14.25" customHeight="1">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ht="14.25" customHeight="1">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ht="14.25" customHeight="1">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ht="14.25" customHeight="1">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ht="14.25" customHeight="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ht="14.25" customHeight="1">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ht="14.25" customHeight="1">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ht="14.25" customHeight="1">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ht="14.25" customHeight="1">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ht="14.25" customHeight="1">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ht="14.25" customHeight="1">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ht="14.25" customHeight="1">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ht="14.25" customHeight="1">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ht="14.25" customHeight="1">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ht="14.25" customHeight="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ht="14.25" customHeight="1">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ht="14.25" customHeight="1">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ht="14.25" customHeight="1">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ht="14.25" customHeight="1">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ht="14.25" customHeight="1">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ht="14.25" customHeight="1">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ht="14.25" customHeight="1">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ht="14.25" customHeight="1">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ht="14.25" customHeight="1">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ht="14.25" customHeight="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ht="14.25" customHeight="1">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ht="14.25" customHeight="1">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ht="14.25" customHeight="1">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ht="14.25" customHeight="1">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ht="14.25" customHeight="1">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ht="14.25" customHeight="1">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ht="14.25" customHeight="1">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ht="14.25" customHeight="1">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ht="14.25" customHeight="1">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ht="14.25" customHeight="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ht="14.25" customHeight="1">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ht="14.25" customHeight="1">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ht="14.25" customHeight="1">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ht="14.25" customHeight="1">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ht="14.25" customHeight="1">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ht="14.25" customHeight="1">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ht="14.25" customHeight="1">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ht="14.25" customHeight="1">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ht="14.25" customHeight="1">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ht="14.25" customHeight="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ht="14.25" customHeight="1">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ht="14.25" customHeight="1">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ht="14.25" customHeight="1">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ht="14.25" customHeight="1">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ht="14.25" customHeight="1">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ht="14.25" customHeight="1">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ht="14.25" customHeight="1">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ht="14.25" customHeight="1">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ht="14.25" customHeight="1">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ht="14.25" customHeight="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ht="14.25" customHeight="1">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ht="14.25" customHeight="1">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ht="14.25" customHeight="1">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ht="14.25" customHeight="1">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ht="14.25" customHeight="1">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ht="14.25" customHeight="1">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ht="14.25" customHeight="1">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ht="14.25" customHeight="1">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ht="14.25" customHeight="1">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ht="14.25" customHeight="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ht="14.25" customHeight="1">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ht="14.25" customHeight="1">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ht="14.25" customHeight="1">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ht="14.25" customHeight="1">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ht="14.25" customHeight="1">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ht="14.25" customHeight="1">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ht="14.25" customHeight="1">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ht="14.25" customHeight="1">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ht="14.25" customHeight="1">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ht="14.25" customHeight="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ht="14.25" customHeight="1">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ht="14.25" customHeight="1">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ht="14.25" customHeight="1">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ht="14.25" customHeight="1">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ht="14.25" customHeight="1">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ht="14.25" customHeight="1">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ht="14.25" customHeight="1">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ht="14.25" customHeight="1">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ht="14.25" customHeight="1">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ht="14.25" customHeight="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ht="14.25" customHeight="1">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ht="14.25" customHeight="1">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ht="14.25" customHeight="1">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ht="14.25" customHeight="1">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ht="14.25" customHeight="1">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ht="14.25" customHeight="1">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ht="14.25" customHeight="1">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ht="14.25" customHeight="1">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ht="14.25" customHeight="1">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ht="14.25" customHeight="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ht="14.25" customHeight="1">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ht="14.25" customHeight="1">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ht="14.25" customHeight="1">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ht="14.25" customHeight="1">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ht="14.25" customHeight="1">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ht="14.25" customHeight="1">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ht="14.25" customHeight="1">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ht="14.25" customHeight="1">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ht="14.25" customHeight="1">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ht="14.25" customHeight="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ht="14.25" customHeight="1">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ht="14.25" customHeight="1">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ht="14.25" customHeight="1">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ht="14.25" customHeight="1">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ht="14.25" customHeight="1">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ht="14.25" customHeight="1">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ht="14.25" customHeight="1">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ht="14.25" customHeight="1">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ht="14.25" customHeight="1">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ht="14.25" customHeight="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ht="14.25" customHeight="1">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ht="14.25" customHeight="1">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ht="14.25" customHeight="1">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ht="14.25" customHeight="1">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ht="14.25" customHeight="1">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ht="14.25" customHeight="1">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ht="14.25" customHeight="1">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ht="14.25" customHeight="1">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ht="14.25" customHeight="1">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ht="14.25" customHeight="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ht="14.25" customHeight="1">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ht="14.25" customHeight="1">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ht="14.25" customHeight="1">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ht="14.25" customHeight="1">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ht="14.25" customHeight="1">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ht="14.25" customHeight="1">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ht="14.25" customHeight="1">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ht="14.25" customHeight="1">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ht="14.25" customHeight="1">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ht="14.25" customHeight="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ht="14.25" customHeight="1">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ht="14.25" customHeight="1">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ht="14.25" customHeight="1">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ht="14.25" customHeight="1">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ht="14.25" customHeight="1">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ht="14.25" customHeight="1">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ht="14.25" customHeight="1">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ht="14.25" customHeight="1">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ht="14.25" customHeight="1">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ht="14.25" customHeight="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ht="14.25" customHeight="1">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ht="14.25" customHeight="1">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ht="14.25" customHeight="1">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ht="14.25" customHeight="1">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ht="14.25" customHeight="1">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ht="14.25" customHeight="1">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ht="14.25" customHeight="1">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ht="14.25" customHeight="1">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ht="14.25" customHeight="1">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ht="14.25" customHeight="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ht="14.25" customHeight="1">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ht="14.25" customHeight="1">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ht="14.25" customHeight="1">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ht="14.25" customHeight="1">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ht="14.25" customHeight="1">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ht="14.25" customHeight="1">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ht="14.25" customHeight="1">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ht="14.25" customHeight="1">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ht="14.25" customHeight="1">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ht="14.25" customHeight="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ht="14.25" customHeight="1">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ht="14.25" customHeight="1">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ht="14.25" customHeight="1">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ht="14.25" customHeight="1">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ht="14.25" customHeight="1">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ht="14.25" customHeight="1">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ht="14.25" customHeight="1">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ht="14.25" customHeight="1">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ht="14.25" customHeight="1">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ht="14.25" customHeight="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ht="14.25" customHeight="1">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ht="14.25" customHeight="1">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ht="14.25" customHeight="1">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ht="14.25" customHeight="1">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ht="14.25" customHeight="1">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ht="14.25" customHeight="1">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ht="14.25" customHeight="1">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ht="14.25" customHeight="1">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ht="14.25" customHeight="1">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ht="14.25" customHeight="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ht="14.25" customHeight="1">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ht="14.25" customHeight="1">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ht="14.25" customHeight="1">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ht="14.25" customHeight="1">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ht="14.25" customHeight="1">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ht="14.25" customHeight="1">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ht="14.25" customHeight="1">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ht="14.25" customHeight="1">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ht="14.25" customHeight="1">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ht="14.25" customHeight="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ht="14.25" customHeight="1">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ht="14.25" customHeight="1">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ht="14.25" customHeight="1">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ht="14.25" customHeight="1">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ht="14.25" customHeight="1">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ht="14.25" customHeight="1">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ht="14.25" customHeight="1">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ht="14.25" customHeight="1">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ht="14.25" customHeight="1">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ht="14.25" customHeight="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ht="14.25" customHeight="1">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ht="14.25" customHeight="1">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ht="14.25" customHeight="1">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ht="14.25" customHeight="1">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ht="14.25" customHeight="1">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ht="14.25" customHeight="1">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ht="14.25" customHeight="1">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ht="14.25" customHeight="1">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ht="14.25" customHeight="1">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ht="14.25" customHeight="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ht="14.25" customHeight="1">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ht="14.25" customHeight="1">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ht="14.25" customHeight="1">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ht="14.25" customHeight="1">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ht="14.25" customHeight="1">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ht="14.25" customHeight="1">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ht="14.25" customHeight="1">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ht="14.25" customHeight="1">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ht="14.25" customHeight="1">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ht="14.25" customHeight="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ht="14.25" customHeight="1">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ht="14.25" customHeight="1">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ht="14.25" customHeight="1">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ht="14.25" customHeight="1">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ht="14.25" customHeight="1">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ht="14.25" customHeight="1">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ht="14.25" customHeight="1">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ht="14.25" customHeight="1">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ht="14.25" customHeight="1">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ht="14.25" customHeight="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ht="14.25" customHeight="1">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ht="14.25" customHeight="1">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ht="14.25" customHeight="1">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ht="14.25" customHeight="1">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ht="14.25" customHeight="1">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ht="14.25" customHeight="1">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ht="14.25" customHeight="1">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ht="14.25" customHeight="1">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ht="14.25" customHeight="1">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ht="14.25" customHeight="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ht="14.25" customHeight="1">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ht="14.25" customHeight="1">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ht="14.25" customHeight="1">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ht="14.25" customHeight="1">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ht="14.25" customHeight="1">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ht="14.25" customHeight="1">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ht="14.25" customHeight="1">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ht="14.25" customHeight="1">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ht="14.25" customHeight="1">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ht="14.25" customHeight="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ht="14.25" customHeight="1">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ht="14.25" customHeight="1">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ht="14.25" customHeight="1">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ht="14.25" customHeight="1">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ht="14.25" customHeight="1">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ht="14.25" customHeight="1">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ht="14.25" customHeight="1">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ht="14.25" customHeight="1">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ht="14.25" customHeight="1">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ht="14.25" customHeight="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ht="14.25" customHeight="1">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ht="14.25" customHeight="1">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ht="14.25" customHeight="1">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ht="14.25" customHeight="1">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ht="14.25" customHeight="1">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ht="14.25" customHeight="1">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ht="14.25" customHeight="1">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ht="14.25" customHeight="1">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ht="14.25" customHeight="1">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ht="14.25" customHeight="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ht="14.25" customHeight="1">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ht="14.25" customHeight="1">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ht="14.25" customHeight="1">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ht="14.25" customHeight="1">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ht="14.25" customHeight="1">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ht="14.25" customHeight="1">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ht="14.25" customHeight="1">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ht="14.25" customHeight="1">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ht="14.25" customHeight="1">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ht="14.25" customHeight="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ht="14.25" customHeight="1">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ht="14.25" customHeight="1">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ht="14.25" customHeight="1">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ht="14.25" customHeight="1">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ht="14.25" customHeight="1">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ht="14.25" customHeight="1">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ht="14.25" customHeight="1">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ht="14.25" customHeight="1">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ht="14.25" customHeight="1">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ht="14.25" customHeight="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ht="14.25" customHeight="1">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ht="14.25" customHeight="1">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ht="14.25" customHeight="1">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ht="14.25" customHeight="1">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ht="14.25" customHeight="1">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ht="14.25" customHeight="1">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ht="14.25" customHeight="1">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ht="14.25" customHeight="1">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ht="14.25" customHeight="1">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ht="14.25" customHeight="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ht="14.25" customHeight="1">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ht="14.25" customHeight="1">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ht="14.25" customHeight="1">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ht="14.25" customHeight="1">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ht="14.25" customHeight="1">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ht="14.25" customHeight="1">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ht="14.25" customHeight="1">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ht="14.25" customHeight="1">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ht="14.25" customHeight="1">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ht="14.25" customHeight="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ht="14.25" customHeight="1">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ht="14.25" customHeight="1">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ht="14.25" customHeight="1">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ht="14.25" customHeight="1">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ht="14.25" customHeight="1">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ht="14.25" customHeight="1">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ht="14.25" customHeight="1">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ht="14.25" customHeight="1">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ht="14.25" customHeight="1">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ht="14.25" customHeight="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ht="14.25" customHeight="1">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ht="14.25" customHeight="1">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ht="14.25" customHeight="1">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ht="14.25" customHeight="1">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ht="14.25" customHeight="1">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ht="14.25" customHeight="1">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ht="14.25" customHeight="1">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ht="14.25" customHeight="1">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ht="14.25" customHeight="1">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ht="14.25" customHeight="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ht="14.25" customHeight="1">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ht="14.25" customHeight="1">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ht="14.25" customHeight="1">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ht="14.25" customHeight="1">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ht="14.25" customHeight="1">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ht="14.25" customHeight="1">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ht="14.25" customHeight="1">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ht="14.25" customHeight="1">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ht="14.25" customHeight="1">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ht="14.25" customHeight="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ht="14.25" customHeight="1">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ht="14.25" customHeight="1">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ht="14.25" customHeight="1">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ht="14.25" customHeight="1">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ht="14.25" customHeight="1">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ht="14.25" customHeight="1">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ht="14.25" customHeight="1">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ht="14.25" customHeight="1">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ht="14.25" customHeight="1">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ht="14.25" customHeight="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ht="14.25" customHeight="1">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ht="14.25" customHeight="1">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ht="14.25" customHeight="1">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ht="14.25" customHeight="1">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ht="14.25" customHeight="1">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ht="14.25" customHeight="1">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ht="14.25" customHeight="1">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ht="14.25" customHeight="1">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ht="14.25" customHeight="1">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ht="14.25" customHeight="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ht="14.25" customHeight="1">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ht="14.25" customHeight="1">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ht="14.25" customHeight="1">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ht="14.25" customHeight="1">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ht="14.25" customHeight="1">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ht="14.25" customHeight="1">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ht="14.25" customHeight="1">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ht="14.25" customHeight="1">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ht="14.25" customHeight="1">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ht="14.25" customHeight="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ht="14.25" customHeight="1">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ht="14.25" customHeight="1">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ht="14.25" customHeight="1">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ht="14.25" customHeight="1">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ht="14.25" customHeight="1">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ht="14.25" customHeight="1">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ht="14.25" customHeight="1">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ht="14.25" customHeight="1">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ht="14.25" customHeight="1">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ht="14.25" customHeight="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ht="14.25" customHeight="1">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ht="14.25" customHeight="1">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ht="14.25" customHeight="1">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ht="14.25" customHeight="1">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ht="14.25" customHeight="1">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ht="14.25" customHeight="1">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ht="14.25" customHeight="1">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ht="14.25" customHeight="1">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ht="14.25" customHeight="1">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ht="14.25" customHeight="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ht="14.25" customHeight="1">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ht="14.25" customHeight="1">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ht="14.25" customHeight="1">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ht="14.25" customHeight="1">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ht="14.25" customHeight="1">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ht="14.25" customHeight="1">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ht="14.25" customHeight="1">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ht="14.25" customHeight="1">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ht="14.25" customHeight="1">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ht="14.25" customHeight="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ht="14.25" customHeight="1">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ht="14.25" customHeight="1">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ht="14.25" customHeight="1">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ht="14.25" customHeight="1">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ht="14.25" customHeight="1">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ht="14.25" customHeight="1">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ht="14.25" customHeight="1">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ht="14.25" customHeight="1">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ht="14.25" customHeight="1">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ht="14.25" customHeight="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ht="14.25" customHeight="1">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ht="14.25" customHeight="1">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ht="14.25" customHeight="1">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ht="14.25" customHeight="1">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ht="14.25" customHeight="1">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ht="14.25" customHeight="1">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ht="14.25" customHeight="1">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ht="14.25" customHeight="1">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ht="14.25" customHeight="1">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ht="14.25" customHeight="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ht="14.25" customHeight="1">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ht="14.25" customHeight="1">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ht="14.25" customHeight="1">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ht="14.25" customHeight="1">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ht="14.25" customHeight="1">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ht="14.25" customHeight="1">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ht="14.25" customHeight="1">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ht="14.25" customHeight="1">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ht="14.25" customHeight="1">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ht="14.25" customHeight="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ht="14.25" customHeight="1">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ht="14.25" customHeight="1">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ht="14.25" customHeight="1">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ht="14.25" customHeight="1">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ht="14.25" customHeight="1">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ht="14.25" customHeight="1">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ht="14.25" customHeight="1">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ht="14.25" customHeight="1">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ht="14.25" customHeight="1">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ht="14.25" customHeight="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ht="14.25" customHeight="1">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ht="14.25" customHeight="1">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ht="14.25" customHeight="1">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ht="14.25" customHeight="1">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ht="14.25" customHeight="1">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ht="14.25" customHeight="1">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ht="14.25" customHeight="1">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ht="14.25" customHeight="1">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ht="14.25" customHeight="1">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ht="14.25" customHeight="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ht="14.25" customHeight="1">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ht="14.25" customHeight="1">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ht="14.25" customHeight="1">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ht="14.25" customHeight="1">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ht="14.25" customHeight="1">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ht="14.25" customHeight="1">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ht="14.25" customHeight="1">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ht="14.25" customHeight="1">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ht="14.25" customHeight="1">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ht="14.25" customHeight="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ht="14.25" customHeight="1">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ht="14.25" customHeight="1">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ht="14.25" customHeight="1">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ht="14.25" customHeight="1">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ht="14.25" customHeight="1">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ht="14.25" customHeight="1">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ht="14.25" customHeight="1">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ht="14.25" customHeight="1">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ht="14.25" customHeight="1">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ht="14.25" customHeight="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ht="14.25" customHeight="1">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ht="14.25" customHeight="1">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ht="14.25" customHeight="1">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ht="14.25" customHeight="1">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ht="14.25" customHeight="1">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ht="14.25" customHeight="1">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ht="14.25" customHeight="1">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ht="14.25" customHeight="1">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ht="14.25" customHeight="1">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ht="14.25" customHeight="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ht="14.25" customHeight="1">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ht="14.25" customHeight="1">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ht="14.25" customHeight="1">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ht="14.25" customHeight="1">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ht="14.25" customHeight="1">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ht="14.25" customHeight="1">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ht="14.25" customHeight="1">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ht="14.25" customHeight="1">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ht="14.25" customHeight="1">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ht="14.25" customHeight="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ht="14.25" customHeight="1">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ht="14.25" customHeight="1">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ht="14.25" customHeight="1">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ht="14.25" customHeight="1">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ht="14.25" customHeight="1">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ht="14.25" customHeight="1">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ht="14.25" customHeight="1">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ht="14.25" customHeight="1">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ht="14.25" customHeight="1">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ht="14.25" customHeight="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ht="14.25" customHeight="1">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ht="14.25" customHeight="1">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ht="14.25" customHeight="1">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ht="14.25" customHeight="1">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ht="14.25" customHeight="1">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ht="14.25" customHeight="1">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ht="14.25" customHeight="1">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ht="14.25" customHeight="1">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ht="14.25" customHeight="1">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ht="14.25" customHeight="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ht="14.25" customHeight="1">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ht="14.25" customHeight="1">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ht="14.25" customHeight="1">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ht="14.25" customHeight="1">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ht="14.25" customHeight="1">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ht="14.25" customHeight="1">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ht="14.25" customHeight="1">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ht="14.25" customHeight="1">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ht="14.25" customHeight="1">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ht="14.25" customHeight="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ht="14.25" customHeight="1">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ht="14.25" customHeight="1">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ht="14.25" customHeight="1">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ht="14.25" customHeight="1">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ht="14.25" customHeight="1">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ht="14.25" customHeight="1">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ht="14.25" customHeight="1">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ht="14.25" customHeight="1">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ht="14.25" customHeight="1">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ht="14.25" customHeight="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ht="14.25" customHeight="1">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ht="14.25" customHeight="1">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ht="14.25" customHeight="1">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ht="14.25" customHeight="1">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ht="14.25" customHeight="1">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ht="14.25" customHeight="1">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ht="14.25" customHeight="1">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ht="14.25" customHeight="1">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ht="14.25" customHeight="1">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ht="14.25" customHeight="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ht="14.25" customHeight="1">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ht="14.25" customHeight="1">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ht="14.25" customHeight="1">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ht="14.25" customHeight="1">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ht="14.25" customHeight="1">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ht="14.25" customHeight="1">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ht="14.25" customHeight="1">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ht="14.25" customHeight="1">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ht="14.25" customHeight="1">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ht="14.25" customHeight="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ht="14.25" customHeight="1">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ht="14.25" customHeight="1">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ht="14.25" customHeight="1">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ht="14.25" customHeight="1">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ht="14.25" customHeight="1">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ht="14.25" customHeight="1">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ht="14.25" customHeight="1">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ht="14.25" customHeight="1">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ht="14.25" customHeight="1">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ht="14.25" customHeight="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ht="14.25" customHeight="1">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ht="14.25" customHeight="1">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ht="14.25" customHeight="1">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ht="14.25" customHeight="1">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ht="14.25" customHeight="1">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ht="14.25" customHeight="1">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ht="14.25" customHeight="1">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ht="14.25" customHeight="1">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ht="14.25" customHeight="1">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ht="14.25" customHeight="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ht="14.25" customHeight="1">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ht="14.25" customHeight="1">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ht="14.25" customHeight="1">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ht="14.25" customHeight="1">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ht="14.25" customHeight="1">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ht="14.25" customHeight="1">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ht="14.25" customHeight="1">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ht="14.25" customHeight="1">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ht="14.25" customHeight="1">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ht="14.25" customHeight="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ht="14.25" customHeight="1">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ht="14.25" customHeight="1">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ht="14.25" customHeight="1">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ht="14.25" customHeight="1">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ht="14.25" customHeight="1">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ht="14.25" customHeight="1">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ht="14.25" customHeight="1">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ht="14.25" customHeight="1">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ht="14.25" customHeight="1">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ht="14.25" customHeight="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ht="14.25" customHeight="1">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ht="14.25" customHeight="1">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ht="14.25" customHeight="1">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ht="14.25" customHeight="1">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ht="14.25" customHeight="1">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ht="14.25" customHeight="1">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ht="14.25" customHeight="1">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ht="14.25" customHeight="1">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ht="14.25" customHeight="1">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ht="14.25" customHeight="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ht="14.25" customHeight="1">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ht="14.25" customHeight="1">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ht="14.25" customHeight="1">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ht="14.25" customHeight="1">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ht="14.25" customHeight="1">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ht="14.25" customHeight="1">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ht="14.25" customHeight="1">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ht="14.25" customHeight="1">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ht="14.25" customHeight="1">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ht="14.25" customHeight="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ht="14.25" customHeight="1">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ht="14.25" customHeight="1">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ht="14.25" customHeight="1">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ht="14.25" customHeight="1">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ht="14.25" customHeight="1">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ht="14.25" customHeight="1">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ht="14.25" customHeight="1">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ht="14.25" customHeight="1">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ht="14.25" customHeight="1">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ht="14.25" customHeight="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ht="14.25" customHeight="1">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ht="14.25" customHeight="1">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ht="14.25" customHeight="1">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ht="14.25" customHeight="1">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ht="14.25" customHeight="1">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ht="14.25" customHeight="1">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ht="14.25" customHeight="1">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ht="14.25" customHeight="1">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ht="14.25" customHeight="1">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ht="14.25" customHeight="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ht="14.25" customHeight="1">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ht="14.25" customHeight="1">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ht="14.25" customHeight="1">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ht="14.25" customHeight="1">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ht="14.25" customHeight="1">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ht="14.25" customHeight="1">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ht="14.25" customHeight="1">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ht="14.25" customHeight="1">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ht="14.25" customHeight="1">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ht="14.25" customHeight="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ht="14.25" customHeight="1">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ht="14.25" customHeight="1">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ht="14.25" customHeight="1">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ht="14.25" customHeight="1">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ht="14.25" customHeight="1">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ht="14.25" customHeight="1">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ht="14.25" customHeight="1">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ht="14.25" customHeight="1">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ht="14.25" customHeight="1">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ht="14.25" customHeight="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ht="14.25" customHeight="1">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ht="14.25" customHeight="1">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ht="14.25" customHeight="1">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ht="14.25" customHeight="1">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ht="14.25" customHeight="1">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ht="14.25" customHeight="1">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ht="14.25" customHeight="1">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ht="14.25" customHeight="1">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ht="14.25" customHeight="1">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ht="14.25" customHeight="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ht="14.25" customHeight="1">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ht="14.25" customHeight="1">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ht="14.25" customHeight="1">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ht="14.25" customHeight="1">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ht="14.25" customHeight="1">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ht="14.25" customHeight="1">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ht="14.25" customHeight="1">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ht="14.25" customHeight="1">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ht="14.25" customHeight="1">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ht="14.25" customHeight="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ht="14.25" customHeight="1">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ht="14.25" customHeight="1">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ht="14.25" customHeight="1">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ht="14.25" customHeight="1">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ht="14.25" customHeight="1">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ht="14.25" customHeight="1">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ht="14.25" customHeight="1">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ht="14.25" customHeight="1">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ht="14.25" customHeight="1">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ht="14.25" customHeight="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ht="14.25" customHeight="1">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ht="14.25" customHeight="1">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ht="14.25" customHeight="1">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ht="14.25" customHeight="1">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ht="14.25" customHeight="1">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ht="14.25" customHeight="1">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ht="14.25" customHeight="1">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ht="14.25" customHeight="1">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ht="14.25" customHeight="1">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ht="14.25" customHeight="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ht="14.25" customHeight="1">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ht="14.25" customHeight="1">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ht="14.25" customHeight="1">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ht="14.25" customHeight="1">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ht="14.25" customHeight="1">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ht="14.25" customHeight="1">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ht="14.25" customHeight="1">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ht="14.25" customHeight="1">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ht="14.25" customHeight="1">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ht="14.25" customHeight="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ht="14.25" customHeight="1">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ht="14.25" customHeight="1">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ht="14.25" customHeight="1">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ht="14.25" customHeight="1">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ht="14.25" customHeight="1">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ht="14.25" customHeight="1">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ht="14.25" customHeight="1">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ht="14.25" customHeight="1">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ht="14.25" customHeight="1">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ht="14.25" customHeight="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ht="14.25" customHeight="1">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ht="14.25" customHeight="1">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ht="14.25" customHeight="1">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ht="14.25" customHeight="1">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ht="14.25" customHeight="1">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ht="14.25" customHeight="1">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ht="14.25" customHeight="1">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ht="14.25" customHeight="1">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ht="14.25" customHeight="1">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ht="14.25" customHeight="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ht="14.25" customHeight="1">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ht="14.25" customHeight="1">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ht="14.25" customHeight="1">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ht="14.25" customHeight="1">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ht="14.25" customHeight="1">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ht="14.25" customHeight="1">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ht="14.25" customHeight="1">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ht="14.25" customHeight="1">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ht="14.25" customHeight="1">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ht="14.25" customHeight="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ht="14.25" customHeight="1">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ht="14.25" customHeight="1">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ht="14.25" customHeight="1">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ht="14.25" customHeight="1">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ht="14.25" customHeight="1">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ht="14.25" customHeight="1">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ht="14.25" customHeight="1">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ht="14.25" customHeight="1">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ht="14.25" customHeight="1">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ht="14.25" customHeight="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ht="14.25" customHeight="1">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ht="14.25" customHeight="1">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ht="14.25" customHeight="1">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ht="14.25" customHeight="1">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ht="14.25" customHeight="1">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ht="14.25" customHeight="1">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ht="14.25" customHeight="1">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ht="14.25" customHeight="1">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ht="14.25" customHeight="1">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ht="14.25" customHeight="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ht="14.25" customHeight="1">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ht="14.25" customHeight="1">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ht="14.25" customHeight="1">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ht="14.25" customHeight="1">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ht="14.25" customHeight="1">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ht="14.25" customHeight="1">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ht="14.25" customHeight="1">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ht="14.25" customHeight="1">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ht="14.25" customHeight="1">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ht="14.25" customHeight="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ht="14.25" customHeight="1">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ht="14.25" customHeight="1">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ht="14.25" customHeight="1">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ht="14.25" customHeight="1">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ht="14.25" customHeight="1">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ht="14.25" customHeight="1">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ht="14.25" customHeight="1">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ht="14.25" customHeight="1">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ht="14.25" customHeight="1">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ht="14.25" customHeight="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ht="14.25" customHeight="1">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ht="14.25" customHeight="1">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ht="14.25" customHeight="1">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ht="14.25" customHeight="1">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ht="14.25" customHeight="1">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ht="14.25" customHeight="1">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ht="14.25" customHeight="1">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ht="14.25" customHeight="1">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ht="14.25" customHeight="1">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ht="14.25" customHeight="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ht="14.25" customHeight="1">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ht="14.25" customHeight="1">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ht="14.25" customHeight="1">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ht="14.25" customHeight="1">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ht="14.25" customHeight="1">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ht="14.25" customHeight="1">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ht="14.25" customHeight="1">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ht="14.25" customHeight="1">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ht="14.25" customHeight="1">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ht="14.25" customHeight="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ht="14.25" customHeight="1">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ht="14.25" customHeight="1">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ht="14.25" customHeight="1">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ht="14.25" customHeight="1">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ht="14.25" customHeight="1">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ht="14.25" customHeight="1">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ht="14.25" customHeight="1">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ht="14.25" customHeight="1">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ht="14.25" customHeight="1">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ht="14.25" customHeight="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ht="14.25" customHeight="1">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ht="14.25" customHeight="1">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ht="14.25" customHeight="1">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ht="14.25" customHeight="1">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ht="14.25" customHeight="1">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ht="14.25" customHeight="1">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ht="14.25" customHeight="1">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ht="14.25" customHeight="1">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ht="14.25" customHeight="1">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ht="14.25" customHeight="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ht="14.25" customHeight="1">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ht="14.25" customHeight="1">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ht="14.25" customHeight="1">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ht="14.25" customHeight="1">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ht="14.25" customHeight="1">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ht="14.25" customHeight="1">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ht="14.25" customHeight="1">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ht="14.25" customHeight="1">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ht="14.25" customHeight="1">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ht="14.25" customHeight="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ht="14.25" customHeight="1">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ht="14.25" customHeight="1">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ht="14.25" customHeight="1">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ht="14.25" customHeight="1">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ht="14.25" customHeight="1">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ht="14.25" customHeight="1">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ht="14.25" customHeight="1">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ht="14.25" customHeight="1">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ht="14.25" customHeight="1">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ht="14.25" customHeight="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ht="14.25" customHeight="1">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ht="14.25" customHeight="1">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ht="14.25" customHeight="1">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ht="14.25" customHeight="1">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ht="14.25" customHeight="1">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ht="14.25" customHeight="1">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ht="14.25" customHeight="1">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ht="14.25" customHeight="1">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ht="14.25" customHeight="1">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ht="14.25" customHeight="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row>
    <row r="992" ht="14.25" customHeight="1">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row>
    <row r="993" ht="14.25" customHeight="1">
      <c r="A993" s="169"/>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row>
    <row r="994" ht="14.25" customHeight="1">
      <c r="A994" s="169"/>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row>
  </sheetData>
  <mergeCells count="6">
    <mergeCell ref="A1:E1"/>
    <mergeCell ref="A2:A3"/>
    <mergeCell ref="B2:B3"/>
    <mergeCell ref="C2:C3"/>
    <mergeCell ref="D2:D3"/>
    <mergeCell ref="E2:E3"/>
  </mergeCells>
  <hyperlinks>
    <hyperlink r:id="rId1" ref="F24"/>
    <hyperlink r:id="rId2" ref="F25"/>
    <hyperlink r:id="rId3" ref="F26"/>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2025-05-01T10:33:57Z</dcterms:created>
  <dc:creator>Ankit Banthiya</dc:creator>
</cp:coreProperties>
</file>